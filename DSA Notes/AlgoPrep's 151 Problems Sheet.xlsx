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RATHAMESH\OneDrive\Desktop\JavaNotes\"/>
    </mc:Choice>
  </mc:AlternateContent>
  <xr:revisionPtr revIDLastSave="0" documentId="13_ncr:1_{74565BDA-5E06-4C1A-B2D3-A6A7058DA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87" i="1" l="1"/>
  <c r="B186" i="1"/>
  <c r="B185" i="1"/>
  <c r="B179" i="1"/>
  <c r="B176" i="1"/>
  <c r="B175" i="1"/>
  <c r="B173" i="1"/>
  <c r="B172" i="1"/>
  <c r="B171" i="1"/>
  <c r="B170" i="1"/>
  <c r="B152" i="1"/>
  <c r="B151" i="1"/>
  <c r="B150" i="1"/>
  <c r="B146" i="1"/>
  <c r="B145" i="1"/>
  <c r="B144" i="1"/>
  <c r="B143" i="1"/>
  <c r="B141" i="1"/>
  <c r="B140" i="1"/>
  <c r="B130" i="1"/>
  <c r="B118" i="1"/>
  <c r="B117" i="1"/>
  <c r="B116" i="1"/>
  <c r="B115" i="1"/>
  <c r="B113" i="1"/>
  <c r="B110" i="1"/>
  <c r="B109" i="1"/>
  <c r="B108" i="1"/>
  <c r="B107" i="1"/>
  <c r="B106" i="1"/>
  <c r="B104" i="1"/>
  <c r="B103" i="1"/>
  <c r="B102" i="1"/>
  <c r="B101" i="1"/>
  <c r="B100" i="1"/>
  <c r="B95" i="1"/>
  <c r="B93" i="1"/>
  <c r="B92" i="1"/>
  <c r="B91" i="1"/>
  <c r="B90" i="1"/>
  <c r="B89" i="1"/>
  <c r="B85" i="1"/>
  <c r="B83" i="1"/>
  <c r="B82" i="1"/>
  <c r="B81" i="1"/>
  <c r="B80" i="1"/>
  <c r="B77" i="1"/>
  <c r="B74" i="1"/>
  <c r="B72" i="1"/>
  <c r="B68" i="1"/>
  <c r="B66" i="1"/>
  <c r="B62" i="1"/>
  <c r="B61" i="1"/>
  <c r="B59" i="1"/>
  <c r="B58" i="1"/>
  <c r="B57" i="1"/>
  <c r="B56" i="1"/>
  <c r="B55" i="1"/>
  <c r="B52" i="1"/>
  <c r="B51" i="1"/>
  <c r="B50" i="1"/>
  <c r="B31" i="1"/>
  <c r="B30" i="1"/>
  <c r="B25" i="1"/>
  <c r="B23" i="1"/>
  <c r="B22" i="1"/>
  <c r="B20" i="1"/>
  <c r="B18" i="1"/>
  <c r="B17" i="1"/>
  <c r="B16" i="1"/>
</calcChain>
</file>

<file path=xl/sharedStrings.xml><?xml version="1.0" encoding="utf-8"?>
<sst xmlns="http://schemas.openxmlformats.org/spreadsheetml/2006/main" count="110" uniqueCount="104">
  <si>
    <t>Nishant Bhaiya's 151</t>
  </si>
  <si>
    <t>REMEMBER</t>
  </si>
  <si>
    <t>🔴 Checkout AlgoPrep: https://bit.ly/AlgoPrep</t>
  </si>
  <si>
    <t>Nothing worth having comes easy!</t>
  </si>
  <si>
    <t>🔴 Join the AlgoPrep Community: https://bit.ly/AlgoPrepCommunity</t>
  </si>
  <si>
    <t>🟩How to make most of this sheet?: https://bit.ly/WhatsAlgoPrep151</t>
  </si>
  <si>
    <t>Serial</t>
  </si>
  <si>
    <t>Problem Name</t>
  </si>
  <si>
    <t>Done?</t>
  </si>
  <si>
    <t>Comments / Hints for the Problem</t>
  </si>
  <si>
    <t>Arrays</t>
  </si>
  <si>
    <t>Rotate Array</t>
  </si>
  <si>
    <t>Squares of a sorted array</t>
  </si>
  <si>
    <t>Kadane's Algo</t>
  </si>
  <si>
    <t>Next Greater Element III</t>
  </si>
  <si>
    <t>Max Chunks To Make Sorted II</t>
  </si>
  <si>
    <t>Range Addition</t>
  </si>
  <si>
    <t>Trapping rain water</t>
  </si>
  <si>
    <t>Two Pointers</t>
  </si>
  <si>
    <t>Container With Most Water</t>
  </si>
  <si>
    <t>Recursion and BackTracking</t>
  </si>
  <si>
    <t>Permutations</t>
  </si>
  <si>
    <t>Permutation Sequence</t>
  </si>
  <si>
    <t>Combination Sum</t>
  </si>
  <si>
    <t>Cmbination Sum 2</t>
  </si>
  <si>
    <t>Letter combination of Phone number</t>
  </si>
  <si>
    <t>N Queens</t>
  </si>
  <si>
    <t>Rat in a Maze Path</t>
  </si>
  <si>
    <t>Bit Manipulation</t>
  </si>
  <si>
    <t>Single Element</t>
  </si>
  <si>
    <t>Single Element 2</t>
  </si>
  <si>
    <t>Single Number 3</t>
  </si>
  <si>
    <t>Divide 2 Integers</t>
  </si>
  <si>
    <t xml:space="preserve"> Max AND Pair.</t>
  </si>
  <si>
    <t>HashMap</t>
  </si>
  <si>
    <t>Count of subarray with sum = k</t>
  </si>
  <si>
    <t>Subarray sum divisible by K</t>
  </si>
  <si>
    <t>Write hashmap</t>
  </si>
  <si>
    <t>Heap</t>
  </si>
  <si>
    <t>Kth Largest Element</t>
  </si>
  <si>
    <t>minimum cost to connect sticks</t>
  </si>
  <si>
    <t>Find Median from Data Stream</t>
  </si>
  <si>
    <t>Binary Search</t>
  </si>
  <si>
    <t>Painter's partition problem</t>
  </si>
  <si>
    <t>Search in rotated sorted array 2</t>
  </si>
  <si>
    <t>Allocate books</t>
  </si>
  <si>
    <t>LinkedList</t>
  </si>
  <si>
    <t>Intersection point of 2 linked list</t>
  </si>
  <si>
    <t>Stacks and Queues</t>
  </si>
  <si>
    <t>Next Greater Element</t>
  </si>
  <si>
    <t>Infix evaluation</t>
  </si>
  <si>
    <t>K queue</t>
  </si>
  <si>
    <t>TREES</t>
  </si>
  <si>
    <t>Top View</t>
  </si>
  <si>
    <t>Max path sum</t>
  </si>
  <si>
    <t>Delete node in bst</t>
  </si>
  <si>
    <t>Next right pointer in each node</t>
  </si>
  <si>
    <t>Trie</t>
  </si>
  <si>
    <t>Implement Trie</t>
  </si>
  <si>
    <t>Max XOR of two numbers in an array</t>
  </si>
  <si>
    <t>Maximum XOR with an element from Array</t>
  </si>
  <si>
    <t>DP</t>
  </si>
  <si>
    <t>longest increasing subsequence</t>
  </si>
  <si>
    <t>building bridges</t>
  </si>
  <si>
    <t>Box stacking</t>
  </si>
  <si>
    <t>Paint house</t>
  </si>
  <si>
    <t>No. of binary string without consecutive 1</t>
  </si>
  <si>
    <t>Possible ways to construct the building</t>
  </si>
  <si>
    <t>Total no. of bst</t>
  </si>
  <si>
    <t>No. of balanced parentheses sequence</t>
  </si>
  <si>
    <t>Min cost path</t>
  </si>
  <si>
    <t>Cherry pickup</t>
  </si>
  <si>
    <t>Cherry pickup 2</t>
  </si>
  <si>
    <t>buy and sell with transaction fee</t>
  </si>
  <si>
    <t>Optimal BST</t>
  </si>
  <si>
    <t>Matrix chain multiplication</t>
  </si>
  <si>
    <t>Longest common subsequence</t>
  </si>
  <si>
    <t>2 egg 100 floor</t>
  </si>
  <si>
    <t>egg drop</t>
  </si>
  <si>
    <t>Regular Expression Matching</t>
  </si>
  <si>
    <t>Palindrome partitioning</t>
  </si>
  <si>
    <t>Frog jump</t>
  </si>
  <si>
    <t>Edit Distance</t>
  </si>
  <si>
    <t>0-1 Knapsack</t>
  </si>
  <si>
    <t>unbounded knapsack</t>
  </si>
  <si>
    <t>Fractional knapsack</t>
  </si>
  <si>
    <t>Coin change combination</t>
  </si>
  <si>
    <t>Coin change permutation</t>
  </si>
  <si>
    <t>GRAPHS</t>
  </si>
  <si>
    <t>Number of Islands</t>
  </si>
  <si>
    <t>Number of Distinct Islands</t>
  </si>
  <si>
    <t>Rotting Oranges</t>
  </si>
  <si>
    <t>swim in rising water</t>
  </si>
  <si>
    <t>Strongly Connected Components (Kosaraju's Algo)</t>
  </si>
  <si>
    <t>Mother Vertex</t>
  </si>
  <si>
    <t>Alien Dictionary</t>
  </si>
  <si>
    <t>Number of Islands II</t>
  </si>
  <si>
    <t>Regions Cut By Slashes</t>
  </si>
  <si>
    <t>Sentence Similarity II</t>
  </si>
  <si>
    <t>Redundant Connection</t>
  </si>
  <si>
    <t>Sliding Puzzle</t>
  </si>
  <si>
    <t>Floyd Warshall</t>
  </si>
  <si>
    <t>remove max number of edges to keep graph traversal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</si>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</sst>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\ mmm\ yyyy"/>
    <numFmt numFmtId="166" formatCode="d\ mmm"/>
  </numFmts>
  <fonts count="46">
    <font>
      <sz val="10"/>
      <color rgb="FF000000"/>
      <name val="Arial"/>
      <scheme val="minor"/>
    </font>
    <font>
      <b/>
      <sz val="14"/>
      <color theme="1"/>
      <name val="Lexend"/>
    </font>
    <font>
      <u/>
      <sz val="10"/>
      <color theme="1"/>
      <name val="Arial"/>
      <scheme val="minor"/>
    </font>
    <font>
      <sz val="10"/>
      <color theme="1"/>
      <name val="Lexend"/>
    </font>
    <font>
      <b/>
      <sz val="14"/>
      <color rgb="FF434343"/>
      <name val="Comfortaa"/>
    </font>
    <font>
      <sz val="11"/>
      <color theme="1"/>
      <name val="Lexend"/>
    </font>
    <font>
      <u/>
      <sz val="10"/>
      <color theme="1"/>
      <name val="Lexend"/>
    </font>
    <font>
      <u/>
      <sz val="11"/>
      <color rgb="FF0000FF"/>
      <name val="Lexend"/>
    </font>
    <font>
      <sz val="14"/>
      <color rgb="FFFFFFFF"/>
      <name val="Comfortaa"/>
    </font>
    <font>
      <u/>
      <sz val="10"/>
      <color rgb="FF0000FF"/>
      <name val="Lexend"/>
    </font>
    <font>
      <b/>
      <sz val="10"/>
      <color theme="1"/>
      <name val="Arial"/>
      <scheme val="minor"/>
    </font>
    <font>
      <b/>
      <sz val="10"/>
      <color theme="1"/>
      <name val="Lexend"/>
    </font>
    <font>
      <u/>
      <sz val="10"/>
      <color rgb="FF0000FF"/>
      <name val="Lexend"/>
    </font>
    <font>
      <u/>
      <sz val="11"/>
      <color rgb="FF1155CC"/>
      <name val="Lexend"/>
    </font>
    <font>
      <u/>
      <sz val="11"/>
      <color rgb="FF0000FF"/>
      <name val="Lexend"/>
    </font>
    <font>
      <u/>
      <sz val="11"/>
      <color rgb="FF0563C1"/>
      <name val="Lexend"/>
    </font>
    <font>
      <u/>
      <sz val="11"/>
      <color rgb="FF0563C1"/>
      <name val="Lexend"/>
    </font>
    <font>
      <u/>
      <sz val="11"/>
      <color rgb="FF0563C1"/>
      <name val="Lexend"/>
    </font>
    <font>
      <u/>
      <sz val="11"/>
      <color rgb="FF1155CC"/>
      <name val="Lexend"/>
    </font>
    <font>
      <sz val="11"/>
      <color rgb="FF1155CC"/>
      <name val="Lexend"/>
    </font>
    <font>
      <sz val="11"/>
      <color rgb="FF0563C1"/>
      <name val="Lexend"/>
    </font>
    <font>
      <b/>
      <u/>
      <sz val="10"/>
      <color theme="1"/>
      <name val="Lexend"/>
    </font>
    <font>
      <u/>
      <sz val="10"/>
      <color rgb="FF0000FF"/>
      <name val="Lexend"/>
    </font>
    <font>
      <u/>
      <sz val="9"/>
      <color rgb="FF0000FF"/>
      <name val="Lexend"/>
    </font>
    <font>
      <u/>
      <sz val="9"/>
      <color rgb="FF1155CC"/>
      <name val="Lexend"/>
    </font>
    <font>
      <u/>
      <sz val="11"/>
      <color rgb="FF1155CC"/>
      <name val="Lexend"/>
    </font>
    <font>
      <u/>
      <sz val="10"/>
      <color rgb="FF1155CC"/>
      <name val="Lexend"/>
    </font>
    <font>
      <u/>
      <sz val="10"/>
      <color rgb="FF0000FF"/>
      <name val="Lexend"/>
    </font>
    <font>
      <u/>
      <sz val="11"/>
      <color rgb="FF1155CC"/>
      <name val="Lexend"/>
    </font>
    <font>
      <u/>
      <sz val="11"/>
      <color rgb="FF1155CC"/>
      <name val="Lexend"/>
    </font>
    <font>
      <u/>
      <sz val="11"/>
      <color rgb="FF1155CC"/>
      <name val="Lexend"/>
    </font>
    <font>
      <u/>
      <sz val="10"/>
      <color rgb="FF1155CC"/>
      <name val="Lexend"/>
    </font>
    <font>
      <u/>
      <sz val="10"/>
      <color rgb="FF1155CC"/>
      <name val="Lexend"/>
    </font>
    <font>
      <u/>
      <sz val="10"/>
      <color rgb="FF1155CC"/>
      <name val="Lexend"/>
    </font>
    <font>
      <u/>
      <sz val="11"/>
      <color rgb="FF0000FF"/>
      <name val="Lexend"/>
    </font>
    <font>
      <u/>
      <sz val="11"/>
      <color rgb="FF1155CC"/>
      <name val="Lexend"/>
    </font>
    <font>
      <u/>
      <sz val="11"/>
      <color rgb="FF1155CC"/>
      <name val="Lexend"/>
    </font>
    <font>
      <b/>
      <u/>
      <sz val="11"/>
      <color rgb="FF000000"/>
      <name val="Lexend"/>
    </font>
    <font>
      <u/>
      <sz val="10"/>
      <color theme="1"/>
      <name val="Lexend"/>
    </font>
    <font>
      <u/>
      <sz val="11"/>
      <color rgb="FF3C78D8"/>
      <name val="Lexend"/>
    </font>
    <font>
      <u/>
      <sz val="11"/>
      <color rgb="FF3C78D8"/>
      <name val="Lexend"/>
    </font>
    <font>
      <u/>
      <sz val="11"/>
      <color rgb="FF3C78D8"/>
      <name val="Lexend"/>
    </font>
    <font>
      <u/>
      <sz val="10"/>
      <color rgb="FF3C78D8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0000FF"/>
      <name val="Lexend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0" xfId="0" applyFont="1" applyFill="1"/>
    <xf numFmtId="0" fontId="6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164" fontId="1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5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3" borderId="0" xfId="0" applyFont="1" applyFill="1" applyAlignment="1">
      <alignment horizontal="center" wrapText="1"/>
    </xf>
    <xf numFmtId="0" fontId="24" fillId="3" borderId="0" xfId="0" applyFont="1" applyFill="1" applyAlignment="1">
      <alignment horizontal="center" wrapText="1"/>
    </xf>
    <xf numFmtId="0" fontId="25" fillId="0" borderId="0" xfId="0" applyFont="1" applyAlignment="1">
      <alignment horizontal="center"/>
    </xf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65" fontId="3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64" fontId="40" fillId="0" borderId="0" xfId="0" applyNumberFormat="1" applyFont="1" applyAlignment="1">
      <alignment horizontal="center"/>
    </xf>
    <xf numFmtId="166" fontId="41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165" fontId="44" fillId="0" borderId="0" xfId="0" applyNumberFormat="1" applyFont="1" applyAlignment="1">
      <alignment horizontal="center"/>
    </xf>
    <xf numFmtId="164" fontId="4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3" borderId="0" xfId="0" applyFont="1" applyFill="1"/>
    <xf numFmtId="0" fontId="9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epcoding.com/resources/online-java-foundation/hashmap-and-heap/hashmap-official/ojquestion" TargetMode="External"/><Relationship Id="rId21" Type="http://schemas.openxmlformats.org/officeDocument/2006/relationships/hyperlink" Target="https://leetcode.com/problems/single-number-iii/" TargetMode="External"/><Relationship Id="rId42" Type="http://schemas.openxmlformats.org/officeDocument/2006/relationships/hyperlink" Target="https://leetcode.com/problems/maximum-xor-of-two-numbers-in-an-array/" TargetMode="External"/><Relationship Id="rId47" Type="http://schemas.openxmlformats.org/officeDocument/2006/relationships/hyperlink" Target="https://practice.geeksforgeeks.org/problems/box-stacking/1" TargetMode="External"/><Relationship Id="rId63" Type="http://schemas.openxmlformats.org/officeDocument/2006/relationships/hyperlink" Target="https://leetcode.com/problems/frog-jump/" TargetMode="External"/><Relationship Id="rId68" Type="http://schemas.openxmlformats.org/officeDocument/2006/relationships/hyperlink" Target="https://www.pepcoding.com/resources/online-java-foundation/dynamic-programming-and-greedy/coin-change-combination-official/ojquestion" TargetMode="External"/><Relationship Id="rId16" Type="http://schemas.openxmlformats.org/officeDocument/2006/relationships/hyperlink" Target="https://leetcode.com/problems/letter-combinations-of-a-phone-number/" TargetMode="External"/><Relationship Id="rId11" Type="http://schemas.openxmlformats.org/officeDocument/2006/relationships/hyperlink" Target="https://leetcode.com/problems/container-with-most-water" TargetMode="External"/><Relationship Id="rId32" Type="http://schemas.openxmlformats.org/officeDocument/2006/relationships/hyperlink" Target="https://www.interviewbit.com/problems/allocate-books/" TargetMode="External"/><Relationship Id="rId37" Type="http://schemas.openxmlformats.org/officeDocument/2006/relationships/hyperlink" Target="https://practice.geeksforgeeks.org/problems/top-view-of-binary-tree/1" TargetMode="External"/><Relationship Id="rId53" Type="http://schemas.openxmlformats.org/officeDocument/2006/relationships/hyperlink" Target="https://leetcode.com/problems/cherry-pickup/" TargetMode="External"/><Relationship Id="rId58" Type="http://schemas.openxmlformats.org/officeDocument/2006/relationships/hyperlink" Target="https://leetcode.com/problems/longest-common-subsequence/" TargetMode="External"/><Relationship Id="rId74" Type="http://schemas.openxmlformats.org/officeDocument/2006/relationships/hyperlink" Target="https://practice.geeksforgeeks.org/problems/strongly-connected-components-kosarajus-algo/1" TargetMode="External"/><Relationship Id="rId79" Type="http://schemas.openxmlformats.org/officeDocument/2006/relationships/hyperlink" Target="https://medium.com/@rebeccahezhang/leetcode-737-sentence-similarity-ii-2ca213f10115" TargetMode="External"/><Relationship Id="rId5" Type="http://schemas.openxmlformats.org/officeDocument/2006/relationships/hyperlink" Target="https://leetcode.com/problems/squares-of-a-sorted-array/" TargetMode="External"/><Relationship Id="rId61" Type="http://schemas.openxmlformats.org/officeDocument/2006/relationships/hyperlink" Target="https://leetcode.com/problems/regular-expression-matching/" TargetMode="External"/><Relationship Id="rId82" Type="http://schemas.openxmlformats.org/officeDocument/2006/relationships/hyperlink" Target="https://practice.geeksforgeeks.org/problems/implementing-floyd-warshall/0" TargetMode="External"/><Relationship Id="rId19" Type="http://schemas.openxmlformats.org/officeDocument/2006/relationships/hyperlink" Target="https://leetcode.com/problems/single-number/" TargetMode="External"/><Relationship Id="rId14" Type="http://schemas.openxmlformats.org/officeDocument/2006/relationships/hyperlink" Target="https://leetcode.com/problems/combination-sum/" TargetMode="External"/><Relationship Id="rId22" Type="http://schemas.openxmlformats.org/officeDocument/2006/relationships/hyperlink" Target="https://leetcode.com/problems/divide-two-integers/" TargetMode="External"/><Relationship Id="rId27" Type="http://schemas.openxmlformats.org/officeDocument/2006/relationships/hyperlink" Target="https://leetcode.com/problems/kth-largest-element-in-an-array/" TargetMode="External"/><Relationship Id="rId30" Type="http://schemas.openxmlformats.org/officeDocument/2006/relationships/hyperlink" Target="https://www.interviewbit.com/problems/painters-partition-problem/" TargetMode="External"/><Relationship Id="rId35" Type="http://schemas.openxmlformats.org/officeDocument/2006/relationships/hyperlink" Target="https://leetcode.com/problems/basic-calculator/" TargetMode="External"/><Relationship Id="rId43" Type="http://schemas.openxmlformats.org/officeDocument/2006/relationships/hyperlink" Target="https://leetcode.com/problems/maximum-xor-with-an-element-from-array/" TargetMode="External"/><Relationship Id="rId48" Type="http://schemas.openxmlformats.org/officeDocument/2006/relationships/hyperlink" Target="https://www.lintcode.com/problem/paint-house/description" TargetMode="External"/><Relationship Id="rId56" Type="http://schemas.openxmlformats.org/officeDocument/2006/relationships/hyperlink" Target="https://www.geeksforgeeks.org/optimal-binary-search-tree-dp-24/" TargetMode="External"/><Relationship Id="rId64" Type="http://schemas.openxmlformats.org/officeDocument/2006/relationships/hyperlink" Target="https://leetcode.com/problems/edit-distance/" TargetMode="External"/><Relationship Id="rId69" Type="http://schemas.openxmlformats.org/officeDocument/2006/relationships/hyperlink" Target="https://www.pepcoding.com/resources/online-java-foundation/dynamic-programming-and-greedy/coin-change-permutations-official/ojquestion" TargetMode="External"/><Relationship Id="rId77" Type="http://schemas.openxmlformats.org/officeDocument/2006/relationships/hyperlink" Target="https://www.lintcode.com/en/old/problem/number-of-islands-ii/" TargetMode="External"/><Relationship Id="rId8" Type="http://schemas.openxmlformats.org/officeDocument/2006/relationships/hyperlink" Target="https://leetcode.com/problems/max-chunks-to-make-sorted-ii" TargetMode="External"/><Relationship Id="rId51" Type="http://schemas.openxmlformats.org/officeDocument/2006/relationships/hyperlink" Target="https://www.geeksforgeeks.org/total-number-of-possible-binary-search-trees-with-n-keys/" TargetMode="External"/><Relationship Id="rId72" Type="http://schemas.openxmlformats.org/officeDocument/2006/relationships/hyperlink" Target="https://leetcode.com/problems/rotting-oranges" TargetMode="External"/><Relationship Id="rId80" Type="http://schemas.openxmlformats.org/officeDocument/2006/relationships/hyperlink" Target="https://leetcode.com/problems/redundant-connection" TargetMode="External"/><Relationship Id="rId3" Type="http://schemas.openxmlformats.org/officeDocument/2006/relationships/hyperlink" Target="https://bit.ly/WhatsAlgoPrep151" TargetMode="External"/><Relationship Id="rId12" Type="http://schemas.openxmlformats.org/officeDocument/2006/relationships/hyperlink" Target="https://leetcode.com/problems/permutations/" TargetMode="External"/><Relationship Id="rId17" Type="http://schemas.openxmlformats.org/officeDocument/2006/relationships/hyperlink" Target="https://leetcode.com/problems/n-queens/" TargetMode="External"/><Relationship Id="rId25" Type="http://schemas.openxmlformats.org/officeDocument/2006/relationships/hyperlink" Target="https://leetcode.com/problems/subarray-sums-divisible-by-k/" TargetMode="External"/><Relationship Id="rId33" Type="http://schemas.openxmlformats.org/officeDocument/2006/relationships/hyperlink" Target="https://www.geeksforgeeks.org/write-a-function-to-get-the-intersection-point-of-two-linked-lists/" TargetMode="External"/><Relationship Id="rId38" Type="http://schemas.openxmlformats.org/officeDocument/2006/relationships/hyperlink" Target="https://leetcode.com/problems/binary-tree-maximum-path-sum/" TargetMode="External"/><Relationship Id="rId46" Type="http://schemas.openxmlformats.org/officeDocument/2006/relationships/hyperlink" Target="https://www.geeksforgeeks.org/dynamic-programming-building-bridges/" TargetMode="External"/><Relationship Id="rId59" Type="http://schemas.openxmlformats.org/officeDocument/2006/relationships/hyperlink" Target="https://www.geeksforgeeks.org/puzzle-set-35-2-eggs-and-100-floors/" TargetMode="External"/><Relationship Id="rId67" Type="http://schemas.openxmlformats.org/officeDocument/2006/relationships/hyperlink" Target="https://www.geeksforgeeks.org/fractional-knapsack-problem/" TargetMode="External"/><Relationship Id="rId20" Type="http://schemas.openxmlformats.org/officeDocument/2006/relationships/hyperlink" Target="https://leetcode.com/problems/single-number-ii/" TargetMode="External"/><Relationship Id="rId41" Type="http://schemas.openxmlformats.org/officeDocument/2006/relationships/hyperlink" Target="https://leetcode.com/problems/implement-trie-prefix-tree/" TargetMode="External"/><Relationship Id="rId54" Type="http://schemas.openxmlformats.org/officeDocument/2006/relationships/hyperlink" Target="https://leetcode.com/problems/cherry-pickup-ii/" TargetMode="External"/><Relationship Id="rId62" Type="http://schemas.openxmlformats.org/officeDocument/2006/relationships/hyperlink" Target="https://leetcode.com/problems/palindrome-partitioning-ii/" TargetMode="External"/><Relationship Id="rId70" Type="http://schemas.openxmlformats.org/officeDocument/2006/relationships/hyperlink" Target="https://leetcode.com/problems/number-of-islands" TargetMode="External"/><Relationship Id="rId75" Type="http://schemas.openxmlformats.org/officeDocument/2006/relationships/hyperlink" Target="https://practice.geeksforgeeks.org/problems/mother-vertex/1" TargetMode="External"/><Relationship Id="rId83" Type="http://schemas.openxmlformats.org/officeDocument/2006/relationships/hyperlink" Target="https://leetcode.com/problems/remove-max-number-of-edges-to-keep-graph-fully-traversable/" TargetMode="External"/><Relationship Id="rId1" Type="http://schemas.openxmlformats.org/officeDocument/2006/relationships/hyperlink" Target="https://www.youtube.com/redirect?event=video_description&amp;redir_token=QUFFLUhqblpXaDJPbUlZUDQ3cUZmaFY3b093Rm80QmNsQXxBQ3Jtc0trNFBRV0FvYmhUb1lpRHNSNml5SDRpWnBUZjlMMEUydXVSLUJweWpGU0I4ZWQ3X3VwR0tyWHJpcDhfaFJZM29HODlJaDQwaFQwbF9zbXZrOG1XR0R6MU5lWHZHTi1uUmt3YXFHWnlsZWlzQmRtem1JYw&amp;q=https%3A%2F%2Fbit.ly%2FAlgoPrep&amp;v=hc_f9y8xi7g" TargetMode="External"/><Relationship Id="rId6" Type="http://schemas.openxmlformats.org/officeDocument/2006/relationships/hyperlink" Target="https://leetcode.com/problems/maximum-subarray/" TargetMode="External"/><Relationship Id="rId15" Type="http://schemas.openxmlformats.org/officeDocument/2006/relationships/hyperlink" Target="https://leetcode.com/problems/combination-sum-ii/" TargetMode="External"/><Relationship Id="rId23" Type="http://schemas.openxmlformats.org/officeDocument/2006/relationships/hyperlink" Target="https://practice.geeksforgeeks.org/problems/maximum-and-value-1587115620/1" TargetMode="External"/><Relationship Id="rId28" Type="http://schemas.openxmlformats.org/officeDocument/2006/relationships/hyperlink" Target="https://leetcode.com/problems/minimum-cost-to-connect-sticks/" TargetMode="External"/><Relationship Id="rId36" Type="http://schemas.openxmlformats.org/officeDocument/2006/relationships/hyperlink" Target="https://www.geeksforgeeks.org/efficiently-implement-k-queues-single-array/" TargetMode="External"/><Relationship Id="rId49" Type="http://schemas.openxmlformats.org/officeDocument/2006/relationships/hyperlink" Target="https://www.geeksforgeeks.org/count-number-binary-strings-without-consecutive-1s/" TargetMode="External"/><Relationship Id="rId57" Type="http://schemas.openxmlformats.org/officeDocument/2006/relationships/hyperlink" Target="https://www.geeksforgeeks.org/matrix-chain-multiplication-dp-8/" TargetMode="External"/><Relationship Id="rId10" Type="http://schemas.openxmlformats.org/officeDocument/2006/relationships/hyperlink" Target="https://leetcode.com/problems/trapping-rain-water/" TargetMode="External"/><Relationship Id="rId31" Type="http://schemas.openxmlformats.org/officeDocument/2006/relationships/hyperlink" Target="https://leetcode.com/problems/search-in-rotated-sorted-array-ii/" TargetMode="External"/><Relationship Id="rId44" Type="http://schemas.openxmlformats.org/officeDocument/2006/relationships/hyperlink" Target="https://leetcode.com/problems/longest-increasing-subsequence/" TargetMode="External"/><Relationship Id="rId52" Type="http://schemas.openxmlformats.org/officeDocument/2006/relationships/hyperlink" Target="https://leetcode.com/problems/minimum-path-sum/" TargetMode="External"/><Relationship Id="rId60" Type="http://schemas.openxmlformats.org/officeDocument/2006/relationships/hyperlink" Target="https://www.geeksforgeeks.org/egg-dropping-puzzle-dp-11/" TargetMode="External"/><Relationship Id="rId65" Type="http://schemas.openxmlformats.org/officeDocument/2006/relationships/hyperlink" Target="https://www.geeksforgeeks.org/0-1-knapsack-problem-dp-10/" TargetMode="External"/><Relationship Id="rId73" Type="http://schemas.openxmlformats.org/officeDocument/2006/relationships/hyperlink" Target="https://leetcode.com/problems/swim-in-rising-water/" TargetMode="External"/><Relationship Id="rId78" Type="http://schemas.openxmlformats.org/officeDocument/2006/relationships/hyperlink" Target="https://leetcode.com/problems/regions-cut-by-slashes" TargetMode="External"/><Relationship Id="rId81" Type="http://schemas.openxmlformats.org/officeDocument/2006/relationships/hyperlink" Target="https://leetcode.com/problems/sliding-puzzle" TargetMode="External"/><Relationship Id="rId4" Type="http://schemas.openxmlformats.org/officeDocument/2006/relationships/hyperlink" Target="https://leetcode.com/problems/rotate-array/" TargetMode="External"/><Relationship Id="rId9" Type="http://schemas.openxmlformats.org/officeDocument/2006/relationships/hyperlink" Target="https://www.lintcode.com/problem/range-addition/description" TargetMode="External"/><Relationship Id="rId13" Type="http://schemas.openxmlformats.org/officeDocument/2006/relationships/hyperlink" Target="https://leetcode.com/problems/permutation-sequence/" TargetMode="External"/><Relationship Id="rId18" Type="http://schemas.openxmlformats.org/officeDocument/2006/relationships/hyperlink" Target="https://practice.geeksforgeeks.org/problems/rat-in-a-maze-problem/1" TargetMode="External"/><Relationship Id="rId39" Type="http://schemas.openxmlformats.org/officeDocument/2006/relationships/hyperlink" Target="https://leetcode.com/problems/delete-node-in-a-bst/" TargetMode="External"/><Relationship Id="rId34" Type="http://schemas.openxmlformats.org/officeDocument/2006/relationships/hyperlink" Target="https://leetcode.com/problems/next-greater-element-i/" TargetMode="External"/><Relationship Id="rId50" Type="http://schemas.openxmlformats.org/officeDocument/2006/relationships/hyperlink" Target="https://www.geeksforgeeks.org/count-possible-ways-to-construct-buildings/" TargetMode="External"/><Relationship Id="rId55" Type="http://schemas.openxmlformats.org/officeDocument/2006/relationships/hyperlink" Target="https://leetcode.com/problems/best-time-to-buy-and-sell-stock-with-transaction-fee/" TargetMode="External"/><Relationship Id="rId76" Type="http://schemas.openxmlformats.org/officeDocument/2006/relationships/hyperlink" Target="https://www.geeksforgeeks.org/given-sorted-dictionary-find-precedence-characters/" TargetMode="External"/><Relationship Id="rId7" Type="http://schemas.openxmlformats.org/officeDocument/2006/relationships/hyperlink" Target="https://leetcode.com/problems/next-greater-element-iii" TargetMode="External"/><Relationship Id="rId71" Type="http://schemas.openxmlformats.org/officeDocument/2006/relationships/hyperlink" Target="https://leetcode.com/problems/number-of-distinct-islands" TargetMode="External"/><Relationship Id="rId2" Type="http://schemas.openxmlformats.org/officeDocument/2006/relationships/hyperlink" Target="https://www.youtube.com/redirect?event=video_description&amp;redir_token=QUFFLUhqa2ExZ2ZUbHZmbURxemZSajhGN3NieHNXOXFKQXxBQ3Jtc0tuNmE5MElhMDM1aGJVdlVFSUJqYkpFUW1HcE9VeUN5MnNNeUNhTWpxV0F2ZmE1LTl5ekQ3bUdHLXFTcC1jbEtWeEY0andmRVVBM0xFRk8xU2Ytdi1EUW4tR1FPUGJzNTg1b3h5V1ZaYmVSNmZoY1Jzcw&amp;q=https%3A%2F%2Fbit.ly%2FAlgoPrepCommunity&amp;v=hc_f9y8xi7g" TargetMode="External"/><Relationship Id="rId29" Type="http://schemas.openxmlformats.org/officeDocument/2006/relationships/hyperlink" Target="https://leetcode.com/problems/find-median-from-data-stream/" TargetMode="External"/><Relationship Id="rId24" Type="http://schemas.openxmlformats.org/officeDocument/2006/relationships/hyperlink" Target="https://leetcode.com/problems/subarray-sum-equals-k/" TargetMode="External"/><Relationship Id="rId40" Type="http://schemas.openxmlformats.org/officeDocument/2006/relationships/hyperlink" Target="https://leetcode.com/problems/populating-next-right-pointers-in-each-node/" TargetMode="External"/><Relationship Id="rId45" Type="http://schemas.openxmlformats.org/officeDocument/2006/relationships/hyperlink" Target="https://leetcode.com/problems/longest-increasing-subsequence/" TargetMode="External"/><Relationship Id="rId66" Type="http://schemas.openxmlformats.org/officeDocument/2006/relationships/hyperlink" Target="https://www.geeksforgeeks.org/unbounded-knapsack-repetition-items-allow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10" workbookViewId="0">
      <selection activeCell="B29" sqref="B29"/>
    </sheetView>
  </sheetViews>
  <sheetFormatPr defaultColWidth="12.5703125" defaultRowHeight="15.75" customHeight="1"/>
  <cols>
    <col min="1" max="1" width="20" customWidth="1"/>
    <col min="2" max="2" width="54.140625" customWidth="1"/>
    <col min="3" max="3" width="18.42578125" customWidth="1"/>
    <col min="8" max="8" width="17.140625" customWidth="1"/>
  </cols>
  <sheetData>
    <row r="1" spans="1:27" ht="15.75" customHeight="1">
      <c r="A1" s="47" t="s">
        <v>0</v>
      </c>
      <c r="B1" s="46"/>
      <c r="C1" s="46"/>
      <c r="D1" s="46"/>
      <c r="E1" s="46"/>
      <c r="F1" s="46"/>
      <c r="G1" s="46"/>
      <c r="H1" s="4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8"/>
      <c r="B2" s="46"/>
      <c r="C2" s="46"/>
      <c r="D2" s="46"/>
      <c r="E2" s="46"/>
      <c r="F2" s="46"/>
      <c r="G2" s="46"/>
      <c r="H2" s="4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2"/>
      <c r="B3" s="3"/>
      <c r="C3" s="4"/>
      <c r="D3" s="5"/>
      <c r="E3" s="5"/>
      <c r="F3" s="5"/>
      <c r="G3" s="5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2"/>
      <c r="B4" s="7" t="s">
        <v>1</v>
      </c>
      <c r="C4" s="4"/>
      <c r="D4" s="49" t="s">
        <v>2</v>
      </c>
      <c r="E4" s="46"/>
      <c r="F4" s="46"/>
      <c r="G4" s="4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2"/>
      <c r="B5" s="8" t="s">
        <v>3</v>
      </c>
      <c r="C5" s="4"/>
      <c r="D5" s="49" t="s">
        <v>4</v>
      </c>
      <c r="E5" s="46"/>
      <c r="F5" s="46"/>
      <c r="G5" s="46"/>
      <c r="H5" s="4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2"/>
      <c r="B6" s="4"/>
      <c r="C6" s="4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2"/>
      <c r="B7" s="4"/>
      <c r="C7" s="4"/>
      <c r="D7" s="50" t="s">
        <v>5</v>
      </c>
      <c r="E7" s="46"/>
      <c r="F7" s="46"/>
      <c r="G7" s="46"/>
      <c r="H7" s="4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2"/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2"/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4" t="s">
        <v>6</v>
      </c>
      <c r="B10" s="4" t="s">
        <v>7</v>
      </c>
      <c r="C10" s="4" t="s">
        <v>8</v>
      </c>
      <c r="D10" s="51" t="s">
        <v>9</v>
      </c>
      <c r="E10" s="46"/>
      <c r="F10" s="46"/>
      <c r="G10" s="46"/>
      <c r="H10" s="4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>
      <c r="A11" s="2"/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>
      <c r="A12" s="2"/>
      <c r="B12" s="10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>
      <c r="A13" s="2">
        <v>1</v>
      </c>
      <c r="B13" s="11" t="s">
        <v>11</v>
      </c>
      <c r="C13" s="1" t="s">
        <v>103</v>
      </c>
      <c r="D13" s="45"/>
      <c r="E13" s="46"/>
      <c r="F13" s="46"/>
      <c r="G13" s="46"/>
      <c r="H13" s="4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>
      <c r="A14" s="2">
        <v>2</v>
      </c>
      <c r="B14" s="12" t="s">
        <v>12</v>
      </c>
      <c r="C14" s="1" t="s">
        <v>103</v>
      </c>
      <c r="D14" s="45"/>
      <c r="E14" s="46"/>
      <c r="F14" s="46"/>
      <c r="G14" s="46"/>
      <c r="H14" s="4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>
      <c r="A15" s="2">
        <v>3</v>
      </c>
      <c r="B15" s="13" t="s">
        <v>13</v>
      </c>
      <c r="C15" s="1" t="s">
        <v>103</v>
      </c>
      <c r="D15" s="45"/>
      <c r="E15" s="46"/>
      <c r="F15" s="46"/>
      <c r="G15" s="46"/>
      <c r="H15" s="4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>
      <c r="A16" s="2">
        <v>4</v>
      </c>
      <c r="B16" s="14" t="str">
        <f>HYPERLINK("https://leetcode.com/problems/maximum-product-subarray/","maximum product subarray")</f>
        <v>maximum product subarray</v>
      </c>
      <c r="C16" s="1" t="s">
        <v>103</v>
      </c>
      <c r="D16" s="45"/>
      <c r="E16" s="46"/>
      <c r="F16" s="46"/>
      <c r="G16" s="46"/>
      <c r="H16" s="4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>
      <c r="A17" s="2">
        <v>5</v>
      </c>
      <c r="B17" s="12" t="str">
        <f>HYPERLINK("https://leetcode.com/problems/majority-element/","majority element")</f>
        <v>majority element</v>
      </c>
      <c r="C17" s="1" t="s">
        <v>103</v>
      </c>
      <c r="D17" s="45"/>
      <c r="E17" s="46"/>
      <c r="F17" s="46"/>
      <c r="G17" s="46"/>
      <c r="H17" s="4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>
      <c r="A18" s="2">
        <v>6</v>
      </c>
      <c r="B18" s="12" t="str">
        <f>HYPERLINK("https://leetcode.com/problems/majority-element-ii/","majority element 2")</f>
        <v>majority element 2</v>
      </c>
      <c r="C18" s="1" t="s">
        <v>103</v>
      </c>
      <c r="D18" s="45"/>
      <c r="E18" s="46"/>
      <c r="F18" s="46"/>
      <c r="G18" s="46"/>
      <c r="H18" s="4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>
      <c r="A19" s="2">
        <v>7</v>
      </c>
      <c r="B19" s="15" t="s">
        <v>14</v>
      </c>
      <c r="C19" s="1"/>
      <c r="D19" s="45"/>
      <c r="E19" s="46"/>
      <c r="F19" s="46"/>
      <c r="G19" s="46"/>
      <c r="H19" s="4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>
      <c r="A20" s="2">
        <v>8</v>
      </c>
      <c r="B20" s="12" t="str">
        <f>HYPERLINK("https://leetcode.com/problems/max-chunks-to-make-sorted/","Max chunks to make sorted")</f>
        <v>Max chunks to make sorted</v>
      </c>
      <c r="C20" s="1"/>
      <c r="D20" s="45"/>
      <c r="E20" s="46"/>
      <c r="F20" s="46"/>
      <c r="G20" s="46"/>
      <c r="H20" s="4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2">
        <v>9</v>
      </c>
      <c r="B21" s="16" t="s">
        <v>15</v>
      </c>
      <c r="C21" s="1"/>
      <c r="D21" s="45"/>
      <c r="E21" s="46"/>
      <c r="F21" s="46"/>
      <c r="G21" s="46"/>
      <c r="H21" s="4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A22" s="2">
        <v>10</v>
      </c>
      <c r="B22" s="16" t="str">
        <f>HYPERLINK("https://leetcode.com/problems/number-of-subarrays-with-bounded-maximum/","number of subarrays with bounded maximum")</f>
        <v>number of subarrays with bounded maximum</v>
      </c>
      <c r="C22" s="1"/>
      <c r="D22" s="45"/>
      <c r="E22" s="46"/>
      <c r="F22" s="46"/>
      <c r="G22" s="46"/>
      <c r="H22" s="4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>
      <c r="A23" s="2">
        <v>11</v>
      </c>
      <c r="B23" s="17" t="str">
        <f>HYPERLINK("https://leetcode.com/problems/first-missing-positive/","First missing positive")</f>
        <v>First missing positive</v>
      </c>
      <c r="C23" s="1"/>
      <c r="D23" s="45"/>
      <c r="E23" s="46"/>
      <c r="F23" s="46"/>
      <c r="G23" s="46"/>
      <c r="H23" s="4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>
      <c r="A24" s="2">
        <v>12</v>
      </c>
      <c r="B24" s="12" t="s">
        <v>16</v>
      </c>
      <c r="C24" s="1"/>
      <c r="D24" s="45"/>
      <c r="E24" s="46"/>
      <c r="F24" s="46"/>
      <c r="G24" s="46"/>
      <c r="H24" s="4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>
      <c r="A25" s="2">
        <v>13</v>
      </c>
      <c r="B25" s="14" t="str">
        <f>HYPERLINK("https://www.geeksforgeeks.org/minimum-number-platforms-required-railwaybus-station/","Min No. of Platform")</f>
        <v>Min No. of Platform</v>
      </c>
      <c r="C25" s="1"/>
      <c r="D25" s="45"/>
      <c r="E25" s="46"/>
      <c r="F25" s="46"/>
      <c r="G25" s="46"/>
      <c r="H25" s="4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>
      <c r="A26" s="2">
        <v>14</v>
      </c>
      <c r="B26" s="18" t="s">
        <v>17</v>
      </c>
      <c r="C26" s="1"/>
      <c r="D26" s="45"/>
      <c r="E26" s="46"/>
      <c r="F26" s="46"/>
      <c r="G26" s="46"/>
      <c r="H26" s="4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>
      <c r="A27" s="2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>
      <c r="A28" s="2"/>
      <c r="B28" s="10" t="s">
        <v>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>
      <c r="A29" s="2">
        <v>15</v>
      </c>
      <c r="B29" s="19" t="s">
        <v>19</v>
      </c>
      <c r="C29" s="1"/>
      <c r="D29" s="45"/>
      <c r="E29" s="46"/>
      <c r="F29" s="46"/>
      <c r="G29" s="46"/>
      <c r="H29" s="4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>
      <c r="A30" s="2">
        <v>16</v>
      </c>
      <c r="B30" s="19" t="str">
        <f>HYPERLINK("https://www.geeksforgeeks.org/given-an-array-a-and-a-number-x-check-for-pair-in-a-with-sum-as-x/","Two Sum")</f>
        <v>Two Sum</v>
      </c>
      <c r="C30" s="1"/>
      <c r="D30" s="45"/>
      <c r="E30" s="46"/>
      <c r="F30" s="46"/>
      <c r="G30" s="46"/>
      <c r="H30" s="4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>
      <c r="A31" s="2">
        <v>17</v>
      </c>
      <c r="B31" s="19" t="str">
        <f>HYPERLINK("https://www.geeksforgeeks.org/find-a-pair-with-the-given-difference/","Two Difference")</f>
        <v>Two Difference</v>
      </c>
      <c r="C31" s="1"/>
      <c r="D31" s="45"/>
      <c r="E31" s="46"/>
      <c r="F31" s="46"/>
      <c r="G31" s="46"/>
      <c r="H31" s="4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>
      <c r="A32" s="2"/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>
      <c r="A33" s="2"/>
      <c r="B33" s="10" t="s">
        <v>20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>
      <c r="A34" s="2">
        <v>18</v>
      </c>
      <c r="B34" s="11" t="s">
        <v>21</v>
      </c>
      <c r="C34" s="1"/>
      <c r="D34" s="45"/>
      <c r="E34" s="46"/>
      <c r="F34" s="46"/>
      <c r="G34" s="46"/>
      <c r="H34" s="4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>
      <c r="A35" s="2">
        <v>19</v>
      </c>
      <c r="B35" s="11" t="s">
        <v>22</v>
      </c>
      <c r="C35" s="1"/>
      <c r="D35" s="45"/>
      <c r="E35" s="46"/>
      <c r="F35" s="46"/>
      <c r="G35" s="46"/>
      <c r="H35" s="4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>
      <c r="A36" s="2">
        <v>20</v>
      </c>
      <c r="B36" s="11" t="s">
        <v>23</v>
      </c>
      <c r="C36" s="1"/>
      <c r="D36" s="45"/>
      <c r="E36" s="46"/>
      <c r="F36" s="46"/>
      <c r="G36" s="46"/>
      <c r="H36" s="4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>
      <c r="A37" s="2">
        <v>21</v>
      </c>
      <c r="B37" s="11" t="s">
        <v>24</v>
      </c>
      <c r="C37" s="1"/>
      <c r="D37" s="45"/>
      <c r="E37" s="46"/>
      <c r="F37" s="46"/>
      <c r="G37" s="46"/>
      <c r="H37" s="4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>
      <c r="A38" s="2">
        <v>22</v>
      </c>
      <c r="B38" s="11" t="s">
        <v>25</v>
      </c>
      <c r="C38" s="1"/>
      <c r="D38" s="45"/>
      <c r="E38" s="46"/>
      <c r="F38" s="46"/>
      <c r="G38" s="46"/>
      <c r="H38" s="4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>
      <c r="A39" s="2">
        <v>23</v>
      </c>
      <c r="B39" s="11" t="s">
        <v>26</v>
      </c>
      <c r="C39" s="1"/>
      <c r="D39" s="45"/>
      <c r="E39" s="46"/>
      <c r="F39" s="46"/>
      <c r="G39" s="46"/>
      <c r="H39" s="4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>
      <c r="A40" s="2">
        <v>24</v>
      </c>
      <c r="B40" s="11" t="s">
        <v>27</v>
      </c>
      <c r="C40" s="1"/>
      <c r="D40" s="45"/>
      <c r="E40" s="46"/>
      <c r="F40" s="46"/>
      <c r="G40" s="46"/>
      <c r="H40" s="4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>
      <c r="A41" s="2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>
      <c r="A42" s="2"/>
      <c r="B42" s="20" t="s">
        <v>28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>
      <c r="A43" s="2">
        <v>25</v>
      </c>
      <c r="B43" s="21" t="s">
        <v>29</v>
      </c>
      <c r="C43" s="1"/>
      <c r="D43" s="45"/>
      <c r="E43" s="46"/>
      <c r="F43" s="46"/>
      <c r="G43" s="46"/>
      <c r="H43" s="4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>
      <c r="A44" s="2">
        <v>26</v>
      </c>
      <c r="B44" s="22" t="s">
        <v>30</v>
      </c>
      <c r="C44" s="1"/>
      <c r="D44" s="45"/>
      <c r="E44" s="46"/>
      <c r="F44" s="46"/>
      <c r="G44" s="46"/>
      <c r="H44" s="4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>
      <c r="A45" s="2">
        <v>27</v>
      </c>
      <c r="B45" s="22" t="s">
        <v>31</v>
      </c>
      <c r="C45" s="1"/>
      <c r="D45" s="45"/>
      <c r="E45" s="46"/>
      <c r="F45" s="46"/>
      <c r="G45" s="46"/>
      <c r="H45" s="4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2">
        <v>28</v>
      </c>
      <c r="B46" s="23" t="s">
        <v>32</v>
      </c>
      <c r="C46" s="1"/>
      <c r="D46" s="45"/>
      <c r="E46" s="46"/>
      <c r="F46" s="46"/>
      <c r="G46" s="46"/>
      <c r="H46" s="4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2">
        <v>29</v>
      </c>
      <c r="B47" s="23" t="s">
        <v>33</v>
      </c>
      <c r="C47" s="1"/>
      <c r="D47" s="45"/>
      <c r="E47" s="46"/>
      <c r="F47" s="46"/>
      <c r="G47" s="46"/>
      <c r="H47" s="4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2"/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>
      <c r="A49" s="2"/>
      <c r="B49" s="20" t="s">
        <v>34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>
      <c r="A50" s="2">
        <v>30</v>
      </c>
      <c r="B50" s="24" t="str">
        <f>HYPERLINK("https://www.geeksforgeeks.org/check-whether-arithmetic-progression-can-formed-given-array/","Check AP sequence")</f>
        <v>Check AP sequence</v>
      </c>
      <c r="C50" s="1"/>
      <c r="D50" s="45"/>
      <c r="E50" s="46"/>
      <c r="F50" s="46"/>
      <c r="G50" s="46"/>
      <c r="H50" s="4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>
      <c r="A51" s="2">
        <v>31</v>
      </c>
      <c r="B51" s="24" t="str">
        <f>HYPERLINK("https://leetcode.com/problems/grid-illumination/","Grid illumination")</f>
        <v>Grid illumination</v>
      </c>
      <c r="C51" s="1"/>
      <c r="D51" s="45"/>
      <c r="E51" s="46"/>
      <c r="F51" s="46"/>
      <c r="G51" s="46"/>
      <c r="H51" s="4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>
      <c r="A52" s="2">
        <v>32</v>
      </c>
      <c r="B52" s="24" t="str">
        <f>HYPERLINK("https://leetcode.com/problems/brick-wall/","Brick wall")</f>
        <v>Brick wall</v>
      </c>
      <c r="C52" s="1"/>
      <c r="D52" s="45"/>
      <c r="E52" s="46"/>
      <c r="F52" s="46"/>
      <c r="G52" s="46"/>
      <c r="H52" s="4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>
      <c r="A53" s="2">
        <v>33</v>
      </c>
      <c r="B53" s="25" t="s">
        <v>35</v>
      </c>
      <c r="C53" s="1"/>
      <c r="D53" s="45"/>
      <c r="E53" s="46"/>
      <c r="F53" s="46"/>
      <c r="G53" s="46"/>
      <c r="H53" s="4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>
      <c r="A54" s="2">
        <v>34</v>
      </c>
      <c r="B54" s="26" t="s">
        <v>36</v>
      </c>
      <c r="C54" s="1"/>
      <c r="D54" s="45"/>
      <c r="E54" s="46"/>
      <c r="F54" s="46"/>
      <c r="G54" s="46"/>
      <c r="H54" s="4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>
      <c r="A55" s="2">
        <v>35</v>
      </c>
      <c r="B55" s="27" t="str">
        <f>HYPERLINK("https://leetcode.com/problems/insert-delete-getrandom-o1/","Insert Delete GetRandom O(1)")</f>
        <v>Insert Delete GetRandom O(1)</v>
      </c>
      <c r="C55" s="1"/>
      <c r="D55" s="45"/>
      <c r="E55" s="46"/>
      <c r="F55" s="46"/>
      <c r="G55" s="46"/>
      <c r="H55" s="4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>
      <c r="A56" s="2">
        <v>36</v>
      </c>
      <c r="B56" s="27" t="str">
        <f>HYPERLINK("https://leetcode.com/problems/insert-delete-getrandom-o1-duplicates-allowed/","Insert delete get random duplicates allowed")</f>
        <v>Insert delete get random duplicates allowed</v>
      </c>
      <c r="C56" s="1"/>
      <c r="D56" s="45"/>
      <c r="E56" s="46"/>
      <c r="F56" s="46"/>
      <c r="G56" s="46"/>
      <c r="H56" s="4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>
      <c r="A57" s="2">
        <v>37</v>
      </c>
      <c r="B57" s="28" t="str">
        <f>HYPERLINK("https://leetcode.com/problems/longest-consecutive-sequence/","Longest consecutive sequence")</f>
        <v>Longest consecutive sequence</v>
      </c>
      <c r="C57" s="1"/>
      <c r="D57" s="45"/>
      <c r="E57" s="46"/>
      <c r="F57" s="46"/>
      <c r="G57" s="46"/>
      <c r="H57" s="4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>
      <c r="A58" s="2">
        <v>38</v>
      </c>
      <c r="B58" s="24" t="str">
        <f>HYPERLINK("https://leetcode.com/problems/find-all-anagrams-in-a-string/","Find all anagrams in a string")</f>
        <v>Find all anagrams in a string</v>
      </c>
      <c r="C58" s="1"/>
      <c r="D58" s="45"/>
      <c r="E58" s="46"/>
      <c r="F58" s="46"/>
      <c r="G58" s="46"/>
      <c r="H58" s="4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>
      <c r="A59" s="2">
        <v>39</v>
      </c>
      <c r="B59" s="29" t="str">
        <f>HYPERLINK("https://leetcode.com/problems/minimum-window-substring/","Find smallest size of string containing all char of other")</f>
        <v>Find smallest size of string containing all char of other</v>
      </c>
      <c r="C59" s="1"/>
      <c r="D59" s="45"/>
      <c r="E59" s="46"/>
      <c r="F59" s="46"/>
      <c r="G59" s="46"/>
      <c r="H59" s="4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>
      <c r="A60" s="2">
        <v>40</v>
      </c>
      <c r="B60" s="30" t="s">
        <v>37</v>
      </c>
      <c r="C60" s="1"/>
      <c r="D60" s="45"/>
      <c r="E60" s="46"/>
      <c r="F60" s="46"/>
      <c r="G60" s="46"/>
      <c r="H60" s="4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>
      <c r="A61" s="2">
        <v>41</v>
      </c>
      <c r="B61" s="28" t="str">
        <f>HYPERLINK("https://www.geeksforgeeks.org/count-subarrays-equal-number-1s-0s/","subarray with equal number of 0 and 1")</f>
        <v>subarray with equal number of 0 and 1</v>
      </c>
      <c r="C61" s="1"/>
      <c r="D61" s="45"/>
      <c r="E61" s="46"/>
      <c r="F61" s="46"/>
      <c r="G61" s="46"/>
      <c r="H61" s="4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>
      <c r="A62" s="2">
        <v>42</v>
      </c>
      <c r="B62" s="28" t="str">
        <f>HYPERLINK("https://www.geeksforgeeks.org/substring-equal-number-0-1-2/","Substring with equal 0 1 and 2")</f>
        <v>Substring with equal 0 1 and 2</v>
      </c>
      <c r="C62" s="1"/>
      <c r="D62" s="45"/>
      <c r="E62" s="46"/>
      <c r="F62" s="46"/>
      <c r="G62" s="46"/>
      <c r="H62" s="4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>
      <c r="A63" s="2"/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>
      <c r="A64" s="2"/>
      <c r="B64" s="20" t="s">
        <v>38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2">
        <v>43</v>
      </c>
      <c r="B65" s="11" t="s">
        <v>39</v>
      </c>
      <c r="C65" s="1"/>
      <c r="D65" s="45"/>
      <c r="E65" s="46"/>
      <c r="F65" s="46"/>
      <c r="G65" s="46"/>
      <c r="H65" s="4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>
      <c r="A66" s="2">
        <v>44</v>
      </c>
      <c r="B66" s="24" t="str">
        <f>HYPERLINK("https://leetcode.com/problems/minimum-number-of-refueling-stops/","Minimum number of refueling spots")</f>
        <v>Minimum number of refueling spots</v>
      </c>
      <c r="C66" s="1"/>
      <c r="D66" s="45"/>
      <c r="E66" s="46"/>
      <c r="F66" s="46"/>
      <c r="G66" s="46"/>
      <c r="H66" s="4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2">
        <v>45</v>
      </c>
      <c r="B67" s="31" t="s">
        <v>40</v>
      </c>
      <c r="C67" s="1"/>
      <c r="D67" s="45"/>
      <c r="E67" s="46"/>
      <c r="F67" s="46"/>
      <c r="G67" s="46"/>
      <c r="H67" s="4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>
      <c r="A68" s="2">
        <v>46</v>
      </c>
      <c r="B68" s="24" t="str">
        <f>HYPERLINK("https://leetcode.com/problems/employee-free-time/","Employee Free time")</f>
        <v>Employee Free time</v>
      </c>
      <c r="C68" s="1"/>
      <c r="D68" s="45"/>
      <c r="E68" s="46"/>
      <c r="F68" s="46"/>
      <c r="G68" s="46"/>
      <c r="H68" s="4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2">
        <v>47</v>
      </c>
      <c r="B69" s="11" t="s">
        <v>41</v>
      </c>
      <c r="C69" s="1"/>
      <c r="D69" s="45"/>
      <c r="E69" s="46"/>
      <c r="F69" s="46"/>
      <c r="G69" s="46"/>
      <c r="H69" s="4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>
      <c r="A70" s="2"/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2"/>
      <c r="B71" s="20" t="s">
        <v>42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>
      <c r="A72" s="2">
        <v>48</v>
      </c>
      <c r="B72" s="29" t="str">
        <f>HYPERLINK("https://leetcode.com/problems/capacity-to-ship-packages-within-d-days/","capacity to ship within D days")</f>
        <v>capacity to ship within D days</v>
      </c>
      <c r="C72" s="1"/>
      <c r="D72" s="45"/>
      <c r="E72" s="46"/>
      <c r="F72" s="46"/>
      <c r="G72" s="46"/>
      <c r="H72" s="4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>
      <c r="A73" s="2">
        <v>49</v>
      </c>
      <c r="B73" s="24" t="s">
        <v>43</v>
      </c>
      <c r="C73" s="1"/>
      <c r="D73" s="45"/>
      <c r="E73" s="46"/>
      <c r="F73" s="46"/>
      <c r="G73" s="46"/>
      <c r="H73" s="4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>
      <c r="A74" s="2">
        <v>50</v>
      </c>
      <c r="B74" s="24" t="str">
        <f>HYPERLINK("https://leetcode.com/problems/search-in-rotated-sorted-array/","search in rotated sorted array")</f>
        <v>search in rotated sorted array</v>
      </c>
      <c r="C74" s="1"/>
      <c r="D74" s="45"/>
      <c r="E74" s="46"/>
      <c r="F74" s="46"/>
      <c r="G74" s="46"/>
      <c r="H74" s="4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>
      <c r="A75" s="2">
        <v>51</v>
      </c>
      <c r="B75" s="24" t="s">
        <v>44</v>
      </c>
      <c r="C75" s="1"/>
      <c r="D75" s="45"/>
      <c r="E75" s="46"/>
      <c r="F75" s="46"/>
      <c r="G75" s="46"/>
      <c r="H75" s="4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2">
        <v>52</v>
      </c>
      <c r="B76" s="32" t="s">
        <v>45</v>
      </c>
      <c r="C76" s="1"/>
      <c r="D76" s="45"/>
      <c r="E76" s="46"/>
      <c r="F76" s="46"/>
      <c r="G76" s="46"/>
      <c r="H76" s="4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>
      <c r="A77" s="2">
        <v>53</v>
      </c>
      <c r="B77" s="24" t="str">
        <f>HYPERLINK("https://leetcode.com/problems/median-of-two-sorted-arrays/","median of two sorted array")</f>
        <v>median of two sorted array</v>
      </c>
      <c r="C77" s="1"/>
      <c r="D77" s="45"/>
      <c r="E77" s="46"/>
      <c r="F77" s="46"/>
      <c r="G77" s="46"/>
      <c r="H77" s="4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2"/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>
      <c r="A79" s="2"/>
      <c r="B79" s="20" t="s">
        <v>46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>
      <c r="A80" s="2">
        <v>54</v>
      </c>
      <c r="B80" s="24" t="str">
        <f>HYPERLINK("https://leetcode.com/problems/reverse-linked-list/","reverse LinkedList")</f>
        <v>reverse LinkedList</v>
      </c>
      <c r="C80" s="1"/>
      <c r="D80" s="45"/>
      <c r="E80" s="46"/>
      <c r="F80" s="46"/>
      <c r="G80" s="46"/>
      <c r="H80" s="4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>
      <c r="A81" s="2">
        <v>55</v>
      </c>
      <c r="B81" s="24" t="str">
        <f>HYPERLINK("https://www.geeksforgeeks.org/write-a-c-function-to-print-the-middle-of-the-linked-list/","Find the middle element")</f>
        <v>Find the middle element</v>
      </c>
      <c r="C81" s="1"/>
      <c r="D81" s="45"/>
      <c r="E81" s="46"/>
      <c r="F81" s="46"/>
      <c r="G81" s="46"/>
      <c r="H81" s="4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>
      <c r="A82" s="2">
        <v>56</v>
      </c>
      <c r="B82" s="24" t="str">
        <f>HYPERLINK("https://www.geeksforgeeks.org/detect-loop-in-a-linked-list/","Floyd cycle")</f>
        <v>Floyd cycle</v>
      </c>
      <c r="C82" s="1"/>
      <c r="D82" s="45"/>
      <c r="E82" s="46"/>
      <c r="F82" s="46"/>
      <c r="G82" s="46"/>
      <c r="H82" s="4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>
      <c r="A83" s="2">
        <v>57</v>
      </c>
      <c r="B83" s="24" t="str">
        <f>HYPERLINK("https://www.geeksforgeeks.org/a-linked-list-with-next-and-arbit-pointer/","Clone a linkedlist")</f>
        <v>Clone a linkedlist</v>
      </c>
      <c r="C83" s="1"/>
      <c r="D83" s="45"/>
      <c r="E83" s="46"/>
      <c r="F83" s="46"/>
      <c r="G83" s="46"/>
      <c r="H83" s="4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>
      <c r="A84" s="2">
        <v>58</v>
      </c>
      <c r="B84" s="24" t="s">
        <v>47</v>
      </c>
      <c r="C84" s="1"/>
      <c r="D84" s="45"/>
      <c r="E84" s="46"/>
      <c r="F84" s="46"/>
      <c r="G84" s="46"/>
      <c r="H84" s="4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>
      <c r="A85" s="2">
        <v>59</v>
      </c>
      <c r="B85" s="24" t="str">
        <f>HYPERLINK("https://leetcode.com/problems/lru-cache/","LRU Cache")</f>
        <v>LRU Cache</v>
      </c>
      <c r="C85" s="1"/>
      <c r="D85" s="45"/>
      <c r="E85" s="46"/>
      <c r="F85" s="46"/>
      <c r="G85" s="46"/>
      <c r="H85" s="4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2"/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2"/>
      <c r="B87" s="20" t="s">
        <v>48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>
      <c r="A88" s="2">
        <v>60</v>
      </c>
      <c r="B88" s="33" t="s">
        <v>49</v>
      </c>
      <c r="C88" s="1"/>
      <c r="D88" s="45"/>
      <c r="E88" s="46"/>
      <c r="F88" s="46"/>
      <c r="G88" s="46"/>
      <c r="H88" s="4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>
      <c r="A89" s="2">
        <v>61</v>
      </c>
      <c r="B89" s="24" t="str">
        <f>HYPERLINK("https://leetcode.com/problems/largest-rectangle-in-histogram/","Largest Rectangular Area Histogram")</f>
        <v>Largest Rectangular Area Histogram</v>
      </c>
      <c r="C89" s="1"/>
      <c r="D89" s="45"/>
      <c r="E89" s="46"/>
      <c r="F89" s="46"/>
      <c r="G89" s="46"/>
      <c r="H89" s="4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>
      <c r="A90" s="2">
        <v>62</v>
      </c>
      <c r="B90" s="24" t="str">
        <f>HYPERLINK("https://leetcode.com/problems/maximal-rectangle/","maximu size binary matrix containing 1")</f>
        <v>maximu size binary matrix containing 1</v>
      </c>
      <c r="C90" s="1"/>
      <c r="D90" s="45"/>
      <c r="E90" s="46"/>
      <c r="F90" s="46"/>
      <c r="G90" s="46"/>
      <c r="H90" s="4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>
      <c r="A91" s="2">
        <v>63</v>
      </c>
      <c r="B91" s="24" t="str">
        <f>HYPERLINK("https://leetcode.com/problems/valid-parentheses/","Valid Parentheses")</f>
        <v>Valid Parentheses</v>
      </c>
      <c r="C91" s="1"/>
      <c r="D91" s="45"/>
      <c r="E91" s="46"/>
      <c r="F91" s="46"/>
      <c r="G91" s="46"/>
      <c r="H91" s="4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>
      <c r="A92" s="2">
        <v>64</v>
      </c>
      <c r="B92" s="24" t="str">
        <f>HYPERLINK("https://leetcode.com/problems/min-stack/","Min Stack")</f>
        <v>Min Stack</v>
      </c>
      <c r="C92" s="1"/>
      <c r="D92" s="45"/>
      <c r="E92" s="46"/>
      <c r="F92" s="46"/>
      <c r="G92" s="46"/>
      <c r="H92" s="4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>
      <c r="A93" s="2">
        <v>65</v>
      </c>
      <c r="B93" s="34" t="str">
        <f>HYPERLINK("https://www.geeksforgeeks.org/efficiently-implement-k-stacks-single-array/","K stacks in a single array")</f>
        <v>K stacks in a single array</v>
      </c>
      <c r="C93" s="1"/>
      <c r="D93" s="45"/>
      <c r="E93" s="46"/>
      <c r="F93" s="46"/>
      <c r="G93" s="46"/>
      <c r="H93" s="4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>
      <c r="A94" s="2">
        <v>66</v>
      </c>
      <c r="B94" s="24" t="s">
        <v>50</v>
      </c>
      <c r="C94" s="1"/>
      <c r="D94" s="45"/>
      <c r="E94" s="46"/>
      <c r="F94" s="46"/>
      <c r="G94" s="46"/>
      <c r="H94" s="4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>
      <c r="A95" s="2">
        <v>67</v>
      </c>
      <c r="B95" s="24" t="str">
        <f>HYPERLINK("https://www.geeksforgeeks.org/reversing-first-k-elements-queue/","K reverse in a queue")</f>
        <v>K reverse in a queue</v>
      </c>
      <c r="C95" s="1"/>
      <c r="D95" s="45"/>
      <c r="E95" s="46"/>
      <c r="F95" s="46"/>
      <c r="G95" s="46"/>
      <c r="H95" s="4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>
      <c r="A96" s="2">
        <v>68</v>
      </c>
      <c r="B96" s="24" t="s">
        <v>51</v>
      </c>
      <c r="C96" s="1"/>
      <c r="D96" s="45"/>
      <c r="E96" s="46"/>
      <c r="F96" s="46"/>
      <c r="G96" s="46"/>
      <c r="H96" s="4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2"/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2"/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2"/>
      <c r="B99" s="20" t="s">
        <v>52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>
      <c r="A100" s="2">
        <v>69</v>
      </c>
      <c r="B100" s="24" t="str">
        <f>HYPERLINK("https://leetcode.com/problems/binary-tree-preorder-traversal/","Preorder Traversal")</f>
        <v>Preorder Traversal</v>
      </c>
      <c r="C100" s="1"/>
      <c r="D100" s="45"/>
      <c r="E100" s="46"/>
      <c r="F100" s="46"/>
      <c r="G100" s="46"/>
      <c r="H100" s="4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>
      <c r="A101" s="2">
        <v>70</v>
      </c>
      <c r="B101" s="24" t="str">
        <f>HYPERLINK("https://leetcode.com/problems/binary-tree-inorder-traversal/","Inorder Traversal")</f>
        <v>Inorder Traversal</v>
      </c>
      <c r="C101" s="1"/>
      <c r="D101" s="45"/>
      <c r="E101" s="46"/>
      <c r="F101" s="46"/>
      <c r="G101" s="46"/>
      <c r="H101" s="4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>
      <c r="A102" s="2">
        <v>71</v>
      </c>
      <c r="B102" s="24" t="str">
        <f>HYPERLINK("https://leetcode.com/problems/binary-tree-postorder-traversal/","Postorder Traversal")</f>
        <v>Postorder Traversal</v>
      </c>
      <c r="C102" s="1"/>
      <c r="D102" s="45"/>
      <c r="E102" s="46"/>
      <c r="F102" s="46"/>
      <c r="G102" s="46"/>
      <c r="H102" s="4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>
      <c r="A103" s="2">
        <v>72</v>
      </c>
      <c r="B103" s="24" t="str">
        <f>HYPERLINK("https://leetcode.com/problems/binary-tree-right-side-view/","right side view")</f>
        <v>right side view</v>
      </c>
      <c r="C103" s="1"/>
      <c r="D103" s="45"/>
      <c r="E103" s="46"/>
      <c r="F103" s="46"/>
      <c r="G103" s="46"/>
      <c r="H103" s="4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>
      <c r="A104" s="2">
        <v>73</v>
      </c>
      <c r="B104" s="24" t="str">
        <f>HYPERLINK("https://practice.geeksforgeeks.org/problems/left-view-of-binary-tree/1","Left View")</f>
        <v>Left View</v>
      </c>
      <c r="C104" s="1"/>
      <c r="D104" s="45"/>
      <c r="E104" s="46"/>
      <c r="F104" s="46"/>
      <c r="G104" s="46"/>
      <c r="H104" s="4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>
      <c r="A105" s="2">
        <v>74</v>
      </c>
      <c r="B105" s="24" t="s">
        <v>53</v>
      </c>
      <c r="C105" s="1"/>
      <c r="D105" s="45"/>
      <c r="E105" s="46"/>
      <c r="F105" s="46"/>
      <c r="G105" s="46"/>
      <c r="H105" s="4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>
      <c r="A106" s="2">
        <v>75</v>
      </c>
      <c r="B106" s="24" t="str">
        <f>HYPERLINK("https://practice.geeksforgeeks.org/problems/bottom-view-of-binary-tree/1","Bottom View")</f>
        <v>Bottom View</v>
      </c>
      <c r="C106" s="1"/>
      <c r="D106" s="45"/>
      <c r="E106" s="46"/>
      <c r="F106" s="46"/>
      <c r="G106" s="46"/>
      <c r="H106" s="4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>
      <c r="A107" s="2">
        <v>76</v>
      </c>
      <c r="B107" s="24" t="str">
        <f>HYPERLINK("https://leetcode.com/problems/vertical-order-traversal-of-a-binary-tree/","Vertical order")</f>
        <v>Vertical order</v>
      </c>
      <c r="C107" s="1"/>
      <c r="D107" s="45"/>
      <c r="E107" s="46"/>
      <c r="F107" s="46"/>
      <c r="G107" s="46"/>
      <c r="H107" s="4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>
      <c r="A108" s="2">
        <v>77</v>
      </c>
      <c r="B108" s="24" t="str">
        <f>HYPERLINK("https://www.geeksforgeeks.org/diagonal-traversal-of-binary-tree/","Diagonal Traversal")</f>
        <v>Diagonal Traversal</v>
      </c>
      <c r="C108" s="1"/>
      <c r="D108" s="45"/>
      <c r="E108" s="46"/>
      <c r="F108" s="46"/>
      <c r="G108" s="46"/>
      <c r="H108" s="4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>
      <c r="A109" s="2">
        <v>78</v>
      </c>
      <c r="B109" s="24" t="str">
        <f>HYPERLINK("https://leetcode.com/problems/boundary-of-binary-tree/","Boundary Traversal")</f>
        <v>Boundary Traversal</v>
      </c>
      <c r="C109" s="1"/>
      <c r="D109" s="45"/>
      <c r="E109" s="46"/>
      <c r="F109" s="46"/>
      <c r="G109" s="46"/>
      <c r="H109" s="4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>
      <c r="A110" s="2">
        <v>79</v>
      </c>
      <c r="B110" s="24" t="str">
        <f>HYPERLINK("https://leetcode.com/problems/binary-tree-cameras/","Binary Tree Cameras")</f>
        <v>Binary Tree Cameras</v>
      </c>
      <c r="C110" s="1"/>
      <c r="D110" s="45"/>
      <c r="E110" s="46"/>
      <c r="F110" s="46"/>
      <c r="G110" s="46"/>
      <c r="H110" s="4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>
      <c r="A111" s="2">
        <v>80</v>
      </c>
      <c r="B111" s="24" t="s">
        <v>54</v>
      </c>
      <c r="C111" s="1"/>
      <c r="D111" s="45"/>
      <c r="E111" s="46"/>
      <c r="F111" s="46"/>
      <c r="G111" s="46"/>
      <c r="H111" s="4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>
      <c r="A112" s="2">
        <v>81</v>
      </c>
      <c r="B112" s="24" t="s">
        <v>55</v>
      </c>
      <c r="C112" s="1"/>
      <c r="D112" s="45"/>
      <c r="E112" s="46"/>
      <c r="F112" s="46"/>
      <c r="G112" s="46"/>
      <c r="H112" s="4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>
      <c r="A113" s="2">
        <v>82</v>
      </c>
      <c r="B113" s="24" t="str">
        <f>HYPERLINK("https://leetcode.com/problems/construct-binary-tree-from-preorder-and-inorder-traversal/","Construct from inorder and preorder")</f>
        <v>Construct from inorder and preorder</v>
      </c>
      <c r="C113" s="1"/>
      <c r="D113" s="45"/>
      <c r="E113" s="46"/>
      <c r="F113" s="46"/>
      <c r="G113" s="46"/>
      <c r="H113" s="4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>
      <c r="A114" s="2">
        <v>83</v>
      </c>
      <c r="B114" s="24" t="s">
        <v>56</v>
      </c>
      <c r="C114" s="1"/>
      <c r="D114" s="45"/>
      <c r="E114" s="46"/>
      <c r="F114" s="46"/>
      <c r="G114" s="46"/>
      <c r="H114" s="4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>
      <c r="A115" s="2">
        <v>84</v>
      </c>
      <c r="B115" s="34" t="str">
        <f>HYPERLINK("https://www.geeksforgeeks.org/convert-a-binary-tree-to-a-circular-doubly-link-list/","Convert a binary tree to circular doubly linked list")</f>
        <v>Convert a binary tree to circular doubly linked list</v>
      </c>
      <c r="C115" s="1"/>
      <c r="D115" s="45"/>
      <c r="E115" s="46"/>
      <c r="F115" s="46"/>
      <c r="G115" s="46"/>
      <c r="H115" s="4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>
      <c r="A116" s="2">
        <v>85</v>
      </c>
      <c r="B116" s="24" t="str">
        <f>HYPERLINK("https://www.geeksforgeeks.org/in-place-conversion-of-sorted-dll-to-balanced-bst/","Conversion of sorted DLL to BST")</f>
        <v>Conversion of sorted DLL to BST</v>
      </c>
      <c r="C116" s="1"/>
      <c r="D116" s="45"/>
      <c r="E116" s="46"/>
      <c r="F116" s="46"/>
      <c r="G116" s="46"/>
      <c r="H116" s="4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>
      <c r="A117" s="2">
        <v>86</v>
      </c>
      <c r="B117" s="24" t="str">
        <f>HYPERLINK("https://practice.geeksforgeeks.org/problems/lowest-common-ancestor-in-a-binary-tree/1","Lowest common ancestor")</f>
        <v>Lowest common ancestor</v>
      </c>
      <c r="C117" s="1"/>
      <c r="D117" s="45"/>
      <c r="E117" s="46"/>
      <c r="F117" s="46"/>
      <c r="G117" s="46"/>
      <c r="H117" s="4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>
      <c r="A118" s="2">
        <v>87</v>
      </c>
      <c r="B118" s="24" t="str">
        <f>HYPERLINK("https://leetcode.com/problems/serialize-and-deserialize-binary-tree/","serialize and deserialise")</f>
        <v>serialize and deserialise</v>
      </c>
      <c r="C118" s="1"/>
      <c r="D118" s="45"/>
      <c r="E118" s="46"/>
      <c r="F118" s="46"/>
      <c r="G118" s="46"/>
      <c r="H118" s="4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>
      <c r="A119" s="2"/>
      <c r="B119" s="2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>
      <c r="A120" s="2"/>
      <c r="B120" s="3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2"/>
      <c r="B121" s="36" t="s">
        <v>57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>
      <c r="A122" s="2">
        <v>88</v>
      </c>
      <c r="B122" s="33" t="s">
        <v>58</v>
      </c>
      <c r="C122" s="1"/>
      <c r="D122" s="45"/>
      <c r="E122" s="46"/>
      <c r="F122" s="46"/>
      <c r="G122" s="46"/>
      <c r="H122" s="4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>
      <c r="A123" s="2">
        <v>89</v>
      </c>
      <c r="B123" s="33" t="s">
        <v>59</v>
      </c>
      <c r="C123" s="1"/>
      <c r="D123" s="45"/>
      <c r="E123" s="46"/>
      <c r="F123" s="46"/>
      <c r="G123" s="46"/>
      <c r="H123" s="4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>
      <c r="A124" s="2">
        <v>90</v>
      </c>
      <c r="B124" s="33" t="s">
        <v>60</v>
      </c>
      <c r="C124" s="1"/>
      <c r="D124" s="45"/>
      <c r="E124" s="46"/>
      <c r="F124" s="46"/>
      <c r="G124" s="46"/>
      <c r="H124" s="4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2"/>
      <c r="B125" s="3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2"/>
      <c r="B126" s="20" t="s">
        <v>61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>
      <c r="A127" s="2">
        <v>91</v>
      </c>
      <c r="B127" s="38" t="s">
        <v>62</v>
      </c>
      <c r="C127" s="1"/>
      <c r="D127" s="45"/>
      <c r="E127" s="46"/>
      <c r="F127" s="46"/>
      <c r="G127" s="46"/>
      <c r="H127" s="4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>
      <c r="A128" s="2">
        <v>92</v>
      </c>
      <c r="B128" s="38" t="s">
        <v>62</v>
      </c>
      <c r="C128" s="1"/>
      <c r="D128" s="45"/>
      <c r="E128" s="46"/>
      <c r="F128" s="46"/>
      <c r="G128" s="46"/>
      <c r="H128" s="4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>
      <c r="A129" s="2">
        <v>93</v>
      </c>
      <c r="B129" s="38" t="s">
        <v>63</v>
      </c>
      <c r="C129" s="1"/>
      <c r="D129" s="45"/>
      <c r="E129" s="46"/>
      <c r="F129" s="46"/>
      <c r="G129" s="46"/>
      <c r="H129" s="4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>
      <c r="A130" s="2">
        <v>94</v>
      </c>
      <c r="B130" s="39" t="str">
        <f>HYPERLINK("https://leetcode.com/problems/russian-doll-envelopes/","Russian doll envelopes")</f>
        <v>Russian doll envelopes</v>
      </c>
      <c r="C130" s="1"/>
      <c r="D130" s="45"/>
      <c r="E130" s="46"/>
      <c r="F130" s="46"/>
      <c r="G130" s="46"/>
      <c r="H130" s="4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>
      <c r="A131" s="2">
        <v>95</v>
      </c>
      <c r="B131" s="38" t="s">
        <v>64</v>
      </c>
      <c r="C131" s="1"/>
      <c r="D131" s="45"/>
      <c r="E131" s="46"/>
      <c r="F131" s="46"/>
      <c r="G131" s="46"/>
      <c r="H131" s="4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>
      <c r="A132" s="2">
        <v>96</v>
      </c>
      <c r="B132" s="39" t="s">
        <v>65</v>
      </c>
      <c r="C132" s="1"/>
      <c r="D132" s="45"/>
      <c r="E132" s="46"/>
      <c r="F132" s="46"/>
      <c r="G132" s="46"/>
      <c r="H132" s="4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>
      <c r="A133" s="2">
        <v>97</v>
      </c>
      <c r="B133" s="38" t="s">
        <v>66</v>
      </c>
      <c r="C133" s="1"/>
      <c r="D133" s="45"/>
      <c r="E133" s="46"/>
      <c r="F133" s="46"/>
      <c r="G133" s="46"/>
      <c r="H133" s="4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>
      <c r="A134" s="2">
        <v>98</v>
      </c>
      <c r="B134" s="38" t="s">
        <v>67</v>
      </c>
      <c r="C134" s="1"/>
      <c r="D134" s="45"/>
      <c r="E134" s="46"/>
      <c r="F134" s="46"/>
      <c r="G134" s="46"/>
      <c r="H134" s="4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>
      <c r="A135" s="2">
        <v>99</v>
      </c>
      <c r="B135" s="39" t="s">
        <v>68</v>
      </c>
      <c r="C135" s="1"/>
      <c r="D135" s="45"/>
      <c r="E135" s="46"/>
      <c r="F135" s="46"/>
      <c r="G135" s="46"/>
      <c r="H135" s="4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>
      <c r="A136" s="2">
        <v>100</v>
      </c>
      <c r="B136" s="38" t="s">
        <v>69</v>
      </c>
      <c r="C136" s="1"/>
      <c r="D136" s="45"/>
      <c r="E136" s="46"/>
      <c r="F136" s="46"/>
      <c r="G136" s="46"/>
      <c r="H136" s="4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>
      <c r="A137" s="2">
        <v>101</v>
      </c>
      <c r="B137" s="39" t="s">
        <v>70</v>
      </c>
      <c r="C137" s="1"/>
      <c r="D137" s="45"/>
      <c r="E137" s="46"/>
      <c r="F137" s="46"/>
      <c r="G137" s="46"/>
      <c r="H137" s="4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>
      <c r="A138" s="2">
        <v>102</v>
      </c>
      <c r="B138" s="38" t="s">
        <v>71</v>
      </c>
      <c r="C138" s="1"/>
      <c r="D138" s="45"/>
      <c r="E138" s="46"/>
      <c r="F138" s="46"/>
      <c r="G138" s="46"/>
      <c r="H138" s="4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>
      <c r="A139" s="2">
        <v>103</v>
      </c>
      <c r="B139" s="38" t="s">
        <v>72</v>
      </c>
      <c r="C139" s="1"/>
      <c r="D139" s="45"/>
      <c r="E139" s="46"/>
      <c r="F139" s="46"/>
      <c r="G139" s="46"/>
      <c r="H139" s="4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>
      <c r="A140" s="2">
        <v>104</v>
      </c>
      <c r="B140" s="39" t="str">
        <f>HYPERLINK("https://leetcode.com/problems/best-time-to-buy-and-sell-stock/","best time to buy and sell stock")</f>
        <v>best time to buy and sell stock</v>
      </c>
      <c r="C140" s="1"/>
      <c r="D140" s="45"/>
      <c r="E140" s="46"/>
      <c r="F140" s="46"/>
      <c r="G140" s="46"/>
      <c r="H140" s="4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>
      <c r="A141" s="2">
        <v>105</v>
      </c>
      <c r="B141" s="39" t="str">
        <f>HYPERLINK("https://leetcode.com/problems/best-time-to-buy-and-sell-stock-ii/","best time to buy and sell 2")</f>
        <v>best time to buy and sell 2</v>
      </c>
      <c r="C141" s="1"/>
      <c r="D141" s="45"/>
      <c r="E141" s="46"/>
      <c r="F141" s="46"/>
      <c r="G141" s="46"/>
      <c r="H141" s="4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>
      <c r="A142" s="2">
        <v>106</v>
      </c>
      <c r="B142" s="38" t="s">
        <v>73</v>
      </c>
      <c r="C142" s="1"/>
      <c r="D142" s="45"/>
      <c r="E142" s="46"/>
      <c r="F142" s="46"/>
      <c r="G142" s="46"/>
      <c r="H142" s="4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>
      <c r="A143" s="2">
        <v>107</v>
      </c>
      <c r="B143" s="39" t="str">
        <f>HYPERLINK("https://leetcode.com/problems/best-time-to-buy-and-sell-stock-with-cooldown/","best time to buy and sell with cool down")</f>
        <v>best time to buy and sell with cool down</v>
      </c>
      <c r="C143" s="1"/>
      <c r="D143" s="45"/>
      <c r="E143" s="46"/>
      <c r="F143" s="46"/>
      <c r="G143" s="46"/>
      <c r="H143" s="4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>
      <c r="A144" s="2">
        <v>108</v>
      </c>
      <c r="B144" s="39" t="str">
        <f>HYPERLINK("https://leetcode.com/problems/best-time-to-buy-and-sell-stock-iii/","best time to buy and sell 3")</f>
        <v>best time to buy and sell 3</v>
      </c>
      <c r="C144" s="1"/>
      <c r="D144" s="45"/>
      <c r="E144" s="46"/>
      <c r="F144" s="46"/>
      <c r="G144" s="46"/>
      <c r="H144" s="4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>
      <c r="A145" s="2">
        <v>109</v>
      </c>
      <c r="B145" s="39" t="str">
        <f>HYPERLINK("https://leetcode.com/problems/best-time-to-buy-and-sell-stock-iv/","best time to but and sell 4")</f>
        <v>best time to but and sell 4</v>
      </c>
      <c r="C145" s="1"/>
      <c r="D145" s="45"/>
      <c r="E145" s="46"/>
      <c r="F145" s="46"/>
      <c r="G145" s="46"/>
      <c r="H145" s="4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>
      <c r="A146" s="2">
        <v>110</v>
      </c>
      <c r="B146" s="40" t="str">
        <f>HYPERLINK("https://leetcode.com/problems/burst-balloons/","burst balloons")</f>
        <v>burst balloons</v>
      </c>
      <c r="C146" s="1"/>
      <c r="D146" s="45"/>
      <c r="E146" s="46"/>
      <c r="F146" s="46"/>
      <c r="G146" s="46"/>
      <c r="H146" s="4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>
      <c r="A147" s="2">
        <v>111</v>
      </c>
      <c r="B147" s="38" t="s">
        <v>74</v>
      </c>
      <c r="C147" s="1"/>
      <c r="D147" s="45"/>
      <c r="E147" s="46"/>
      <c r="F147" s="46"/>
      <c r="G147" s="46"/>
      <c r="H147" s="4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>
      <c r="A148" s="2">
        <v>112</v>
      </c>
      <c r="B148" s="40" t="s">
        <v>75</v>
      </c>
      <c r="C148" s="1"/>
      <c r="D148" s="45"/>
      <c r="E148" s="46"/>
      <c r="F148" s="46"/>
      <c r="G148" s="46"/>
      <c r="H148" s="4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>
      <c r="A149" s="2">
        <v>113</v>
      </c>
      <c r="B149" s="38" t="s">
        <v>76</v>
      </c>
      <c r="C149" s="1"/>
      <c r="D149" s="45"/>
      <c r="E149" s="46"/>
      <c r="F149" s="46"/>
      <c r="G149" s="46"/>
      <c r="H149" s="4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>
      <c r="A150" s="2">
        <v>114</v>
      </c>
      <c r="B150" s="39" t="str">
        <f>HYPERLINK("https://www.geeksforgeeks.org/count-palindromic-subsequence-given-string/","Count all pallindromic subsequence")</f>
        <v>Count all pallindromic subsequence</v>
      </c>
      <c r="C150" s="1"/>
      <c r="D150" s="45"/>
      <c r="E150" s="46"/>
      <c r="F150" s="46"/>
      <c r="G150" s="46"/>
      <c r="H150" s="4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>
      <c r="A151" s="2">
        <v>115</v>
      </c>
      <c r="B151" s="39" t="str">
        <f>HYPERLINK("https://leetcode.com/problems/count-different-palindromic-subsequences/","Count distinct pallindromic subsequence")</f>
        <v>Count distinct pallindromic subsequence</v>
      </c>
      <c r="C151" s="1"/>
      <c r="D151" s="45"/>
      <c r="E151" s="46"/>
      <c r="F151" s="46"/>
      <c r="G151" s="46"/>
      <c r="H151" s="4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>
      <c r="A152" s="2">
        <v>116</v>
      </c>
      <c r="B152" s="38" t="str">
        <f>HYPERLINK("https://www.geeksforgeeks.org/number-subsequences-form-ai-bj-ck/","No. of sequence of type a^i+b^j+c^k")</f>
        <v>No. of sequence of type a^i+b^j+c^k</v>
      </c>
      <c r="C152" s="1"/>
      <c r="D152" s="45"/>
      <c r="E152" s="46"/>
      <c r="F152" s="46"/>
      <c r="G152" s="46"/>
      <c r="H152" s="4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>
      <c r="A153" s="2">
        <v>117</v>
      </c>
      <c r="B153" s="39" t="s">
        <v>77</v>
      </c>
      <c r="C153" s="1"/>
      <c r="D153" s="45"/>
      <c r="E153" s="46"/>
      <c r="F153" s="46"/>
      <c r="G153" s="46"/>
      <c r="H153" s="4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>
      <c r="A154" s="2">
        <v>118</v>
      </c>
      <c r="B154" s="39" t="s">
        <v>78</v>
      </c>
      <c r="C154" s="1"/>
      <c r="D154" s="45"/>
      <c r="E154" s="46"/>
      <c r="F154" s="46"/>
      <c r="G154" s="46"/>
      <c r="H154" s="4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>
      <c r="A155" s="2">
        <v>119</v>
      </c>
      <c r="B155" s="38" t="s">
        <v>79</v>
      </c>
      <c r="C155" s="1"/>
      <c r="D155" s="45"/>
      <c r="E155" s="46"/>
      <c r="F155" s="46"/>
      <c r="G155" s="46"/>
      <c r="H155" s="4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>
      <c r="A156" s="2">
        <v>120</v>
      </c>
      <c r="B156" s="38" t="s">
        <v>80</v>
      </c>
      <c r="C156" s="1"/>
      <c r="D156" s="45"/>
      <c r="E156" s="46"/>
      <c r="F156" s="46"/>
      <c r="G156" s="46"/>
      <c r="H156" s="4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>
      <c r="A157" s="2">
        <v>121</v>
      </c>
      <c r="B157" s="38" t="s">
        <v>81</v>
      </c>
      <c r="C157" s="1"/>
      <c r="D157" s="45"/>
      <c r="E157" s="46"/>
      <c r="F157" s="46"/>
      <c r="G157" s="46"/>
      <c r="H157" s="4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>
      <c r="A158" s="2">
        <v>122</v>
      </c>
      <c r="B158" s="38" t="s">
        <v>82</v>
      </c>
      <c r="C158" s="1"/>
      <c r="D158" s="45"/>
      <c r="E158" s="46"/>
      <c r="F158" s="46"/>
      <c r="G158" s="46"/>
      <c r="H158" s="4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2">
        <v>123</v>
      </c>
      <c r="B159" s="41" t="s">
        <v>83</v>
      </c>
      <c r="C159" s="1"/>
      <c r="D159" s="45"/>
      <c r="E159" s="46"/>
      <c r="F159" s="46"/>
      <c r="G159" s="46"/>
      <c r="H159" s="4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2">
        <v>124</v>
      </c>
      <c r="B160" s="41" t="s">
        <v>84</v>
      </c>
      <c r="C160" s="1"/>
      <c r="D160" s="45"/>
      <c r="E160" s="46"/>
      <c r="F160" s="46"/>
      <c r="G160" s="46"/>
      <c r="H160" s="4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2">
        <v>125</v>
      </c>
      <c r="B161" s="41" t="s">
        <v>85</v>
      </c>
      <c r="C161" s="1"/>
      <c r="D161" s="45"/>
      <c r="E161" s="46"/>
      <c r="F161" s="46"/>
      <c r="G161" s="46"/>
      <c r="H161" s="4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2">
        <v>126</v>
      </c>
      <c r="B162" s="41" t="s">
        <v>86</v>
      </c>
      <c r="C162" s="1"/>
      <c r="D162" s="45"/>
      <c r="E162" s="46"/>
      <c r="F162" s="46"/>
      <c r="G162" s="46"/>
      <c r="H162" s="4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2">
        <v>127</v>
      </c>
      <c r="B163" s="41" t="s">
        <v>87</v>
      </c>
      <c r="C163" s="1"/>
      <c r="D163" s="45"/>
      <c r="E163" s="46"/>
      <c r="F163" s="46"/>
      <c r="G163" s="46"/>
      <c r="H163" s="4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2"/>
      <c r="B164" s="3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2"/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2"/>
      <c r="B166" s="20" t="s">
        <v>88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2">
        <v>128</v>
      </c>
      <c r="B167" s="42" t="s">
        <v>89</v>
      </c>
      <c r="C167" s="1"/>
      <c r="D167" s="45"/>
      <c r="E167" s="46"/>
      <c r="F167" s="46"/>
      <c r="G167" s="46"/>
      <c r="H167" s="4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2">
        <v>129</v>
      </c>
      <c r="B168" s="42" t="s">
        <v>90</v>
      </c>
      <c r="C168" s="1"/>
      <c r="D168" s="45"/>
      <c r="E168" s="46"/>
      <c r="F168" s="46"/>
      <c r="G168" s="46"/>
      <c r="H168" s="4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2">
        <v>130</v>
      </c>
      <c r="B169" s="42" t="s">
        <v>91</v>
      </c>
      <c r="C169" s="1"/>
      <c r="D169" s="45"/>
      <c r="E169" s="46"/>
      <c r="F169" s="46"/>
      <c r="G169" s="46"/>
      <c r="H169" s="4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2">
        <v>131</v>
      </c>
      <c r="B170" s="42" t="str">
        <f>HYPERLINK("https://leetcode.com/problems/is-graph-bipartite/","Bipartite graph")</f>
        <v>Bipartite graph</v>
      </c>
      <c r="C170" s="1"/>
      <c r="D170" s="45"/>
      <c r="E170" s="46"/>
      <c r="F170" s="46"/>
      <c r="G170" s="46"/>
      <c r="H170" s="4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2">
        <v>132</v>
      </c>
      <c r="B171" s="42" t="str">
        <f>HYPERLINK("https://leetcode.com/problems/bus-routes/","Bus routes")</f>
        <v>Bus routes</v>
      </c>
      <c r="C171" s="1"/>
      <c r="D171" s="45"/>
      <c r="E171" s="46"/>
      <c r="F171" s="46"/>
      <c r="G171" s="46"/>
      <c r="H171" s="4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2">
        <v>133</v>
      </c>
      <c r="B172" s="43" t="str">
        <f>HYPERLINK("https://www.spoj.com/problems/MST/","Prim's Algo")</f>
        <v>Prim's Algo</v>
      </c>
      <c r="C172" s="1"/>
      <c r="D172" s="45"/>
      <c r="E172" s="46"/>
      <c r="F172" s="46"/>
      <c r="G172" s="46"/>
      <c r="H172" s="4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2">
        <v>134</v>
      </c>
      <c r="B173" s="42" t="str">
        <f>HYPERLINK("https://www.geeksforgeeks.org/dijkstras-shortest-path-algorithm-greedy-algo-7/","Dijkstra algo")</f>
        <v>Dijkstra algo</v>
      </c>
      <c r="C173" s="1"/>
      <c r="D173" s="45"/>
      <c r="E173" s="46"/>
      <c r="F173" s="46"/>
      <c r="G173" s="46"/>
      <c r="H173" s="4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2">
        <v>135</v>
      </c>
      <c r="B174" s="42" t="s">
        <v>92</v>
      </c>
      <c r="C174" s="1"/>
      <c r="D174" s="45"/>
      <c r="E174" s="46"/>
      <c r="F174" s="46"/>
      <c r="G174" s="46"/>
      <c r="H174" s="4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2">
        <v>136</v>
      </c>
      <c r="B175" s="42" t="str">
        <f>HYPERLINK("https://leetcode.com/problems/01-matrix/","0-1 matrix")</f>
        <v>0-1 matrix</v>
      </c>
      <c r="C175" s="1"/>
      <c r="D175" s="45"/>
      <c r="E175" s="46"/>
      <c r="F175" s="46"/>
      <c r="G175" s="46"/>
      <c r="H175" s="4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2">
        <v>137</v>
      </c>
      <c r="B176" s="42" t="str">
        <f>HYPERLINK("https://www.geeksforgeeks.org/bellman-ford-algorithm-dp-23/","bellman ford")</f>
        <v>bellman ford</v>
      </c>
      <c r="C176" s="1"/>
      <c r="D176" s="45"/>
      <c r="E176" s="46"/>
      <c r="F176" s="46"/>
      <c r="G176" s="46"/>
      <c r="H176" s="4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2">
        <v>138</v>
      </c>
      <c r="B177" s="42" t="s">
        <v>93</v>
      </c>
      <c r="C177" s="1"/>
      <c r="D177" s="45"/>
      <c r="E177" s="46"/>
      <c r="F177" s="46"/>
      <c r="G177" s="46"/>
      <c r="H177" s="4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2">
        <v>139</v>
      </c>
      <c r="B178" s="42" t="s">
        <v>94</v>
      </c>
      <c r="C178" s="1"/>
      <c r="D178" s="45"/>
      <c r="E178" s="46"/>
      <c r="F178" s="46"/>
      <c r="G178" s="46"/>
      <c r="H178" s="4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2">
        <v>140</v>
      </c>
      <c r="B179" s="42" t="str">
        <f>HYPERLINK("https://www.geeksforgeeks.org/topological-sorting-indegree-based-solution/","Kahn's algo")</f>
        <v>Kahn's algo</v>
      </c>
      <c r="C179" s="1"/>
      <c r="D179" s="45"/>
      <c r="E179" s="46"/>
      <c r="F179" s="46"/>
      <c r="G179" s="46"/>
      <c r="H179" s="4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2">
        <v>141</v>
      </c>
      <c r="B180" s="42" t="s">
        <v>95</v>
      </c>
      <c r="C180" s="1"/>
      <c r="D180" s="45"/>
      <c r="E180" s="46"/>
      <c r="F180" s="46"/>
      <c r="G180" s="46"/>
      <c r="H180" s="4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2">
        <v>142</v>
      </c>
      <c r="B181" s="42" t="s">
        <v>96</v>
      </c>
      <c r="C181" s="1"/>
      <c r="D181" s="45"/>
      <c r="E181" s="46"/>
      <c r="F181" s="46"/>
      <c r="G181" s="46"/>
      <c r="H181" s="4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2">
        <v>143</v>
      </c>
      <c r="B182" s="44" t="s">
        <v>97</v>
      </c>
      <c r="C182" s="1"/>
      <c r="D182" s="45"/>
      <c r="E182" s="46"/>
      <c r="F182" s="46"/>
      <c r="G182" s="46"/>
      <c r="H182" s="4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2">
        <v>144</v>
      </c>
      <c r="B183" s="42" t="s">
        <v>98</v>
      </c>
      <c r="C183" s="1"/>
      <c r="D183" s="45"/>
      <c r="E183" s="46"/>
      <c r="F183" s="46"/>
      <c r="G183" s="46"/>
      <c r="H183" s="4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2">
        <v>145</v>
      </c>
      <c r="B184" s="42" t="s">
        <v>99</v>
      </c>
      <c r="C184" s="1"/>
      <c r="D184" s="45"/>
      <c r="E184" s="46"/>
      <c r="F184" s="46"/>
      <c r="G184" s="46"/>
      <c r="H184" s="4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2">
        <v>146</v>
      </c>
      <c r="B185" s="42" t="str">
        <f>HYPERLINK("https://leetcode.com/problems/redundant-connection-ii/","Redundant connection 2")</f>
        <v>Redundant connection 2</v>
      </c>
      <c r="C185" s="1"/>
      <c r="D185" s="45"/>
      <c r="E185" s="46"/>
      <c r="F185" s="46"/>
      <c r="G185" s="46"/>
      <c r="H185" s="4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2">
        <v>147</v>
      </c>
      <c r="B186" s="42" t="str">
        <f>HYPERLINK("https://www.geeksforgeeks.org/articulation-points-or-cut-vertices-in-a-graph/","Articulation point")</f>
        <v>Articulation point</v>
      </c>
      <c r="C186" s="1"/>
      <c r="D186" s="45"/>
      <c r="E186" s="46"/>
      <c r="F186" s="46"/>
      <c r="G186" s="46"/>
      <c r="H186" s="4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2">
        <v>148</v>
      </c>
      <c r="B187" s="42" t="str">
        <f>HYPERLINK("https://www.geeksforgeeks.org/minimum-number-swaps-required-sort-array/","Min swaps required to sort array")</f>
        <v>Min swaps required to sort array</v>
      </c>
      <c r="C187" s="1"/>
      <c r="D187" s="45"/>
      <c r="E187" s="46"/>
      <c r="F187" s="46"/>
      <c r="G187" s="46"/>
      <c r="H187" s="4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2">
        <v>149</v>
      </c>
      <c r="B188" s="42" t="s">
        <v>100</v>
      </c>
      <c r="C188" s="1"/>
      <c r="D188" s="45"/>
      <c r="E188" s="46"/>
      <c r="F188" s="46"/>
      <c r="G188" s="46"/>
      <c r="H188" s="4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2">
        <v>150</v>
      </c>
      <c r="B189" s="42" t="s">
        <v>101</v>
      </c>
      <c r="C189" s="1"/>
      <c r="D189" s="45"/>
      <c r="E189" s="46"/>
      <c r="F189" s="46"/>
      <c r="G189" s="46"/>
      <c r="H189" s="4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2">
        <v>151</v>
      </c>
      <c r="B190" s="42" t="s">
        <v>102</v>
      </c>
      <c r="C190" s="1"/>
      <c r="D190" s="45"/>
      <c r="E190" s="46"/>
      <c r="F190" s="46"/>
      <c r="G190" s="46"/>
      <c r="H190" s="4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2"/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2"/>
      <c r="B192" s="3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2"/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2"/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2"/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2"/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2"/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2"/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2"/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2"/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2"/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2"/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2"/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2"/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2"/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2"/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2"/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2"/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2"/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2"/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2"/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2"/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2"/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2"/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2"/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2"/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2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2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2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2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2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2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2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2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2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2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2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2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2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2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2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2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2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2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2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2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2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2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2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2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2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2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2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2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2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2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2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2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2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2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2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2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2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2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2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2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2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2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2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2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2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2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2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2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2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2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2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2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2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2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2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2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2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2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2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2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2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2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2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2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2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2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2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2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2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2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2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2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2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2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2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2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2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2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2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2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2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2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2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2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2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2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2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2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2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2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2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2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2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2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2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2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2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2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2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2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2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2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2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2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2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2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2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2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2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2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2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2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2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2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2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2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2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2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2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2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2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2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2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2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2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2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2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2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2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2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2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2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2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2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2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2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2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2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2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2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2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2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2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2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2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2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2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2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2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2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2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2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2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2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2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2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2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2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2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2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2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2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2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2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2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2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2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2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2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2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2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2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2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2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2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2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2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2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2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2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2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2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2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2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2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2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2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2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2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2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2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2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2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2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2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2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2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2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2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2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2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2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2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2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2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2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2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2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2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2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2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2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2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2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2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2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2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2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2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2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2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2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2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2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2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2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2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2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2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2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2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2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2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2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2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2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2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2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2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2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2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2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2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2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2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2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2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2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2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2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2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2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2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2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2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2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2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2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2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2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2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2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2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2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2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2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2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2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2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2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2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2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2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2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2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2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2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2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2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2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2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2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2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2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2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2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2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2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2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2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2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2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2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2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2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2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2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2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2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2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2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2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2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2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2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2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2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2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2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2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2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2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2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2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2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2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2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2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2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2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2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2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2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2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2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2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2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2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2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2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2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2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2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2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2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2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2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2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2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2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2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2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2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2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2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2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2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2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2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2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2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2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2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2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2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2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2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2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2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2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2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2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2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2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2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2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2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2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2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2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2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2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2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2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2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2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2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2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2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2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2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2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2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2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2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2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2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2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2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2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2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2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2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2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2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2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2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2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2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2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2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2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2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2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2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2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2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2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2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2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2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2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2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2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2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2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2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2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2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2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2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2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2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2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2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2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2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2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2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2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2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2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2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2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2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2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2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2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2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2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2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2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2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2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2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2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2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2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2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2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2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2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2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2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2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2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2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2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2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2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2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2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2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2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2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2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2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2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2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2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2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2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2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2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2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2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2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2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2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2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2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2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2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2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2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2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2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2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2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2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2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2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2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2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2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2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2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2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2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2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2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2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2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2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2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2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2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2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2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2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2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2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2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2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2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2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2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2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2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2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2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2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2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2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2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2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2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2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2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2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2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2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2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2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2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2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2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2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2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2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2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2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2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2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2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2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2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2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2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2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2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2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2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2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2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2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2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2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2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2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2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2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2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2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2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2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2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2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2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2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2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2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2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2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2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2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2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2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2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2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2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2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2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2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2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2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2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2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2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2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2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2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2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2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2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2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2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2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2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2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2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2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2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2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2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2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2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2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2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2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2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2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2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2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2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2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2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2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2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2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2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2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2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2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2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2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2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2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2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2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2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2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2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2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2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2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2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2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2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2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2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2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2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2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2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2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2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2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2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2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2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2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2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2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2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2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2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2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2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2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2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2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2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2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2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2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2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2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2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2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2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2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2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2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2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2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2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2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2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2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2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2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2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2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2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2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2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2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2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2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2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2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2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2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2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2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2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2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2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2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2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2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2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2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2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2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2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2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2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2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2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2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2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2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2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2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2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2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2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2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2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2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2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2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2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2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2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2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2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2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2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2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2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2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2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2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2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2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2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2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2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2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2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2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2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2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2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2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2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2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2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2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2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2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2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2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2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2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2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2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2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2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2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2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2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2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2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2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2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2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2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2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2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2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2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2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2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2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2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2"/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2"/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2"/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2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2"/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57"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9:H29"/>
    <mergeCell ref="D30:H30"/>
    <mergeCell ref="D31:H31"/>
    <mergeCell ref="D34:H34"/>
    <mergeCell ref="D35:H35"/>
    <mergeCell ref="D36:H36"/>
    <mergeCell ref="D55:H55"/>
    <mergeCell ref="D56:H56"/>
    <mergeCell ref="D57:H57"/>
    <mergeCell ref="D58:H58"/>
    <mergeCell ref="D37:H37"/>
    <mergeCell ref="D38:H38"/>
    <mergeCell ref="D39:H39"/>
    <mergeCell ref="D40:H40"/>
    <mergeCell ref="D43:H43"/>
    <mergeCell ref="D44:H44"/>
    <mergeCell ref="D45:H45"/>
    <mergeCell ref="D46:H46"/>
    <mergeCell ref="D47:H47"/>
    <mergeCell ref="A1:H1"/>
    <mergeCell ref="A2:H2"/>
    <mergeCell ref="D5:H5"/>
    <mergeCell ref="D4:G4"/>
    <mergeCell ref="D67:H67"/>
    <mergeCell ref="D68:H68"/>
    <mergeCell ref="D69:H69"/>
    <mergeCell ref="D72:H72"/>
    <mergeCell ref="D73:H73"/>
    <mergeCell ref="D59:H59"/>
    <mergeCell ref="D60:H60"/>
    <mergeCell ref="D61:H61"/>
    <mergeCell ref="D62:H62"/>
    <mergeCell ref="D65:H65"/>
    <mergeCell ref="D66:H66"/>
    <mergeCell ref="D7:H7"/>
    <mergeCell ref="D10:H10"/>
    <mergeCell ref="D13:H13"/>
    <mergeCell ref="D14:H14"/>
    <mergeCell ref="D50:H50"/>
    <mergeCell ref="D51:H51"/>
    <mergeCell ref="D52:H52"/>
    <mergeCell ref="D53:H53"/>
    <mergeCell ref="D54:H54"/>
    <mergeCell ref="D74:H74"/>
    <mergeCell ref="D75:H75"/>
    <mergeCell ref="D76:H76"/>
    <mergeCell ref="D77:H77"/>
    <mergeCell ref="D80:H80"/>
    <mergeCell ref="D81:H81"/>
    <mergeCell ref="D82:H82"/>
    <mergeCell ref="D83:H83"/>
    <mergeCell ref="D84:H84"/>
    <mergeCell ref="D85:H85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D118:H118"/>
    <mergeCell ref="D122:H122"/>
    <mergeCell ref="D123:H123"/>
    <mergeCell ref="D124:H124"/>
    <mergeCell ref="D127:H127"/>
    <mergeCell ref="D128:H128"/>
    <mergeCell ref="D129:H129"/>
    <mergeCell ref="D189:H189"/>
    <mergeCell ref="D146:H146"/>
    <mergeCell ref="D147:H147"/>
    <mergeCell ref="D148:H148"/>
    <mergeCell ref="D149:H149"/>
    <mergeCell ref="D150:H150"/>
    <mergeCell ref="D151:H151"/>
    <mergeCell ref="D152:H152"/>
    <mergeCell ref="D153:H153"/>
    <mergeCell ref="D154:H154"/>
    <mergeCell ref="D155:H155"/>
    <mergeCell ref="D156:H156"/>
    <mergeCell ref="D157:H157"/>
    <mergeCell ref="D158:H158"/>
    <mergeCell ref="D159:H159"/>
    <mergeCell ref="D160:H160"/>
    <mergeCell ref="D190:H190"/>
    <mergeCell ref="D182:H182"/>
    <mergeCell ref="D183:H183"/>
    <mergeCell ref="D184:H184"/>
    <mergeCell ref="D185:H185"/>
    <mergeCell ref="D186:H186"/>
    <mergeCell ref="D187:H187"/>
    <mergeCell ref="D188:H188"/>
    <mergeCell ref="D130:H130"/>
    <mergeCell ref="D131:H131"/>
    <mergeCell ref="D132:H132"/>
    <mergeCell ref="D133:H133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  <mergeCell ref="D144:H144"/>
    <mergeCell ref="D145:H145"/>
    <mergeCell ref="D161:H161"/>
    <mergeCell ref="D162:H162"/>
    <mergeCell ref="D163:H163"/>
    <mergeCell ref="D167:H167"/>
    <mergeCell ref="D168:H168"/>
    <mergeCell ref="D169:H169"/>
    <mergeCell ref="D170:H170"/>
    <mergeCell ref="D171:H171"/>
    <mergeCell ref="D172:H172"/>
    <mergeCell ref="D173:H173"/>
    <mergeCell ref="D174:H174"/>
    <mergeCell ref="D175:H175"/>
    <mergeCell ref="D176:H176"/>
    <mergeCell ref="D177:H177"/>
    <mergeCell ref="D178:H178"/>
    <mergeCell ref="D179:H179"/>
    <mergeCell ref="D180:H180"/>
    <mergeCell ref="D181:H181"/>
  </mergeCells>
  <dataValidations count="1">
    <dataValidation type="list" allowBlank="1" showErrorMessage="1" sqref="C13:C26 C29:C31 C34:C40 C43:C47 C50:C62 C65:C69 C72:C77 C80:C85 C88:C96 C100:C118 C122:C124 C127:C163 C167:C190" xr:uid="{00000000-0002-0000-0000-000000000000}">
      <formula1>"No,Yes"</formula1>
    </dataValidation>
  </dataValidations>
  <hyperlinks>
    <hyperlink ref="D4" r:id="rId1" xr:uid="{00000000-0004-0000-0000-000000000000}"/>
    <hyperlink ref="D5" r:id="rId2" xr:uid="{00000000-0004-0000-0000-000001000000}"/>
    <hyperlink ref="D7" r:id="rId3" xr:uid="{00000000-0004-0000-0000-000002000000}"/>
    <hyperlink ref="B13" r:id="rId4" xr:uid="{00000000-0004-0000-0000-000003000000}"/>
    <hyperlink ref="B14" r:id="rId5" xr:uid="{00000000-0004-0000-0000-000004000000}"/>
    <hyperlink ref="B15" r:id="rId6" xr:uid="{00000000-0004-0000-0000-000005000000}"/>
    <hyperlink ref="B19" r:id="rId7" xr:uid="{00000000-0004-0000-0000-000006000000}"/>
    <hyperlink ref="B21" r:id="rId8" xr:uid="{00000000-0004-0000-0000-000007000000}"/>
    <hyperlink ref="B24" r:id="rId9" xr:uid="{00000000-0004-0000-0000-000008000000}"/>
    <hyperlink ref="B26" r:id="rId10" xr:uid="{00000000-0004-0000-0000-000009000000}"/>
    <hyperlink ref="B29" r:id="rId11" xr:uid="{00000000-0004-0000-0000-00000A000000}"/>
    <hyperlink ref="B34" r:id="rId12" xr:uid="{00000000-0004-0000-0000-00000B000000}"/>
    <hyperlink ref="B35" r:id="rId13" xr:uid="{00000000-0004-0000-0000-00000C000000}"/>
    <hyperlink ref="B36" r:id="rId14" xr:uid="{00000000-0004-0000-0000-00000D000000}"/>
    <hyperlink ref="B37" r:id="rId15" xr:uid="{00000000-0004-0000-0000-00000E000000}"/>
    <hyperlink ref="B38" r:id="rId16" xr:uid="{00000000-0004-0000-0000-00000F000000}"/>
    <hyperlink ref="B39" r:id="rId17" xr:uid="{00000000-0004-0000-0000-000010000000}"/>
    <hyperlink ref="B40" r:id="rId18" xr:uid="{00000000-0004-0000-0000-000011000000}"/>
    <hyperlink ref="B43" r:id="rId19" xr:uid="{00000000-0004-0000-0000-000012000000}"/>
    <hyperlink ref="B44" r:id="rId20" xr:uid="{00000000-0004-0000-0000-000013000000}"/>
    <hyperlink ref="B45" r:id="rId21" xr:uid="{00000000-0004-0000-0000-000014000000}"/>
    <hyperlink ref="B46" r:id="rId22" xr:uid="{00000000-0004-0000-0000-000015000000}"/>
    <hyperlink ref="B47" r:id="rId23" xr:uid="{00000000-0004-0000-0000-000016000000}"/>
    <hyperlink ref="B53" r:id="rId24" xr:uid="{00000000-0004-0000-0000-000017000000}"/>
    <hyperlink ref="B54" r:id="rId25" xr:uid="{00000000-0004-0000-0000-000018000000}"/>
    <hyperlink ref="B60" r:id="rId26" xr:uid="{00000000-0004-0000-0000-000019000000}"/>
    <hyperlink ref="B65" r:id="rId27" xr:uid="{00000000-0004-0000-0000-00001A000000}"/>
    <hyperlink ref="B67" r:id="rId28" xr:uid="{00000000-0004-0000-0000-00001B000000}"/>
    <hyperlink ref="B69" r:id="rId29" xr:uid="{00000000-0004-0000-0000-00001C000000}"/>
    <hyperlink ref="B73" r:id="rId30" xr:uid="{00000000-0004-0000-0000-00001D000000}"/>
    <hyperlink ref="B75" r:id="rId31" xr:uid="{00000000-0004-0000-0000-00001E000000}"/>
    <hyperlink ref="B76" r:id="rId32" xr:uid="{00000000-0004-0000-0000-00001F000000}"/>
    <hyperlink ref="B84" r:id="rId33" xr:uid="{00000000-0004-0000-0000-000020000000}"/>
    <hyperlink ref="B88" r:id="rId34" xr:uid="{00000000-0004-0000-0000-000021000000}"/>
    <hyperlink ref="B94" r:id="rId35" xr:uid="{00000000-0004-0000-0000-000022000000}"/>
    <hyperlink ref="B96" r:id="rId36" xr:uid="{00000000-0004-0000-0000-000023000000}"/>
    <hyperlink ref="B105" r:id="rId37" xr:uid="{00000000-0004-0000-0000-000024000000}"/>
    <hyperlink ref="B111" r:id="rId38" xr:uid="{00000000-0004-0000-0000-000025000000}"/>
    <hyperlink ref="B112" r:id="rId39" xr:uid="{00000000-0004-0000-0000-000026000000}"/>
    <hyperlink ref="B114" r:id="rId40" xr:uid="{00000000-0004-0000-0000-000027000000}"/>
    <hyperlink ref="B122" r:id="rId41" xr:uid="{00000000-0004-0000-0000-000028000000}"/>
    <hyperlink ref="B123" r:id="rId42" xr:uid="{00000000-0004-0000-0000-000029000000}"/>
    <hyperlink ref="B124" r:id="rId43" xr:uid="{00000000-0004-0000-0000-00002A000000}"/>
    <hyperlink ref="B127" r:id="rId44" xr:uid="{00000000-0004-0000-0000-00002B000000}"/>
    <hyperlink ref="B128" r:id="rId45" xr:uid="{00000000-0004-0000-0000-00002C000000}"/>
    <hyperlink ref="B129" r:id="rId46" xr:uid="{00000000-0004-0000-0000-00002D000000}"/>
    <hyperlink ref="B131" r:id="rId47" xr:uid="{00000000-0004-0000-0000-00002E000000}"/>
    <hyperlink ref="B132" r:id="rId48" xr:uid="{00000000-0004-0000-0000-00002F000000}"/>
    <hyperlink ref="B133" r:id="rId49" xr:uid="{00000000-0004-0000-0000-000030000000}"/>
    <hyperlink ref="B134" r:id="rId50" xr:uid="{00000000-0004-0000-0000-000031000000}"/>
    <hyperlink ref="B135" r:id="rId51" xr:uid="{00000000-0004-0000-0000-000032000000}"/>
    <hyperlink ref="B137" r:id="rId52" xr:uid="{00000000-0004-0000-0000-000033000000}"/>
    <hyperlink ref="B138" r:id="rId53" xr:uid="{00000000-0004-0000-0000-000034000000}"/>
    <hyperlink ref="B139" r:id="rId54" xr:uid="{00000000-0004-0000-0000-000035000000}"/>
    <hyperlink ref="B142" r:id="rId55" xr:uid="{00000000-0004-0000-0000-000036000000}"/>
    <hyperlink ref="B147" r:id="rId56" xr:uid="{00000000-0004-0000-0000-000037000000}"/>
    <hyperlink ref="B148" r:id="rId57" xr:uid="{00000000-0004-0000-0000-000038000000}"/>
    <hyperlink ref="B149" r:id="rId58" xr:uid="{00000000-0004-0000-0000-000039000000}"/>
    <hyperlink ref="B153" r:id="rId59" xr:uid="{00000000-0004-0000-0000-00003A000000}"/>
    <hyperlink ref="B154" r:id="rId60" xr:uid="{00000000-0004-0000-0000-00003B000000}"/>
    <hyperlink ref="B155" r:id="rId61" xr:uid="{00000000-0004-0000-0000-00003C000000}"/>
    <hyperlink ref="B156" r:id="rId62" xr:uid="{00000000-0004-0000-0000-00003D000000}"/>
    <hyperlink ref="B157" r:id="rId63" xr:uid="{00000000-0004-0000-0000-00003E000000}"/>
    <hyperlink ref="B158" r:id="rId64" xr:uid="{00000000-0004-0000-0000-00003F000000}"/>
    <hyperlink ref="B159" r:id="rId65" xr:uid="{00000000-0004-0000-0000-000040000000}"/>
    <hyperlink ref="B160" r:id="rId66" xr:uid="{00000000-0004-0000-0000-000041000000}"/>
    <hyperlink ref="B161" r:id="rId67" xr:uid="{00000000-0004-0000-0000-000042000000}"/>
    <hyperlink ref="B162" r:id="rId68" xr:uid="{00000000-0004-0000-0000-000043000000}"/>
    <hyperlink ref="B163" r:id="rId69" xr:uid="{00000000-0004-0000-0000-000044000000}"/>
    <hyperlink ref="B167" r:id="rId70" xr:uid="{00000000-0004-0000-0000-000045000000}"/>
    <hyperlink ref="B168" r:id="rId71" xr:uid="{00000000-0004-0000-0000-000046000000}"/>
    <hyperlink ref="B169" r:id="rId72" xr:uid="{00000000-0004-0000-0000-000047000000}"/>
    <hyperlink ref="B174" r:id="rId73" xr:uid="{00000000-0004-0000-0000-000048000000}"/>
    <hyperlink ref="B177" r:id="rId74" xr:uid="{00000000-0004-0000-0000-000049000000}"/>
    <hyperlink ref="B178" r:id="rId75" xr:uid="{00000000-0004-0000-0000-00004A000000}"/>
    <hyperlink ref="B180" r:id="rId76" xr:uid="{00000000-0004-0000-0000-00004B000000}"/>
    <hyperlink ref="B181" r:id="rId77" xr:uid="{00000000-0004-0000-0000-00004C000000}"/>
    <hyperlink ref="B182" r:id="rId78" xr:uid="{00000000-0004-0000-0000-00004D000000}"/>
    <hyperlink ref="B183" r:id="rId79" xr:uid="{00000000-0004-0000-0000-00004E000000}"/>
    <hyperlink ref="B184" r:id="rId80" xr:uid="{00000000-0004-0000-0000-00004F000000}"/>
    <hyperlink ref="B188" r:id="rId81" xr:uid="{00000000-0004-0000-0000-000050000000}"/>
    <hyperlink ref="B189" r:id="rId82" xr:uid="{00000000-0004-0000-0000-000051000000}"/>
    <hyperlink ref="B190" r:id="rId83" xr:uid="{00000000-0004-0000-0000-00005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Patil</cp:lastModifiedBy>
  <dcterms:modified xsi:type="dcterms:W3CDTF">2023-12-31T17:33:45Z</dcterms:modified>
</cp:coreProperties>
</file>